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Nikhil\OneDrive\Desktop\"/>
    </mc:Choice>
  </mc:AlternateContent>
  <xr:revisionPtr revIDLastSave="0" documentId="13_ncr:1_{695F72EB-57CC-4B34-917E-F1A1AD6D327A}" xr6:coauthVersionLast="47" xr6:coauthVersionMax="47" xr10:uidLastSave="{00000000-0000-0000-0000-000000000000}"/>
  <bookViews>
    <workbookView xWindow="-108" yWindow="-108" windowWidth="23256" windowHeight="12456" activeTab="2" xr2:uid="{13F4AE79-2971-4DD1-83EB-84B9C5A6F743}"/>
  </bookViews>
  <sheets>
    <sheet name="SuperMarket Sales" sheetId="2" r:id="rId1"/>
    <sheet name="Pivot Table" sheetId="3" r:id="rId2"/>
    <sheet name="DashBoard" sheetId="4" r:id="rId3"/>
  </sheets>
  <definedNames>
    <definedName name="_xlnm._FilterDatabase" localSheetId="0" hidden="1">'SuperMarket Sales'!$A$1:$I$71</definedName>
    <definedName name="_xlchart.v2.0" hidden="1">'Pivot Table'!$W$5:$W$12</definedName>
    <definedName name="_xlchart.v2.1" hidden="1">'Pivot Table'!$X$5:$X$12</definedName>
    <definedName name="_xlchart.v5.2" hidden="1">'Pivot Table'!$Q$4</definedName>
    <definedName name="_xlchart.v5.3" hidden="1">'Pivot Table'!$Q$5:$Q$14</definedName>
    <definedName name="_xlchart.v5.4" hidden="1">'Pivot Table'!$R$5:$R$14</definedName>
    <definedName name="Slicer_Category">#N/A</definedName>
    <definedName name="Slicer_Month">#N/A</definedName>
    <definedName name="Slicer_Year">#N/A</definedName>
  </definedNames>
  <calcPr calcId="191029"/>
  <pivotCaches>
    <pivotCache cacheId="12" r:id="rId4"/>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3" l="1"/>
  <c r="Q7" i="3"/>
  <c r="Q8" i="3"/>
  <c r="Q9" i="3"/>
  <c r="Q10" i="3"/>
  <c r="Q11" i="3"/>
  <c r="Q12" i="3"/>
  <c r="Q13" i="3"/>
  <c r="Q14" i="3"/>
  <c r="Q5" i="3"/>
  <c r="W6" i="3"/>
  <c r="W7" i="3"/>
  <c r="W8" i="3"/>
  <c r="W9" i="3"/>
  <c r="W10" i="3"/>
  <c r="W11" i="3"/>
  <c r="W12" i="3"/>
  <c r="W5" i="3"/>
  <c r="R12" i="3"/>
  <c r="R7" i="3"/>
  <c r="R14" i="3"/>
  <c r="R5" i="3"/>
  <c r="A15" i="3"/>
  <c r="X6" i="3"/>
  <c r="X12" i="3"/>
  <c r="X7" i="3"/>
  <c r="X5" i="3"/>
  <c r="R10" i="3"/>
  <c r="R11" i="3"/>
  <c r="X8" i="3"/>
  <c r="R8" i="3"/>
  <c r="X9" i="3"/>
  <c r="R9" i="3"/>
  <c r="X10" i="3"/>
  <c r="R6" i="3"/>
  <c r="X11" i="3"/>
  <c r="R13" i="3"/>
  <c r="A14" i="3"/>
  <c r="I71" i="2" l="1"/>
  <c r="I63" i="2"/>
  <c r="I64" i="2"/>
  <c r="I65" i="2"/>
  <c r="I66" i="2"/>
  <c r="I67" i="2"/>
  <c r="I68" i="2"/>
  <c r="I69" i="2"/>
  <c r="I70"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2" i="2"/>
</calcChain>
</file>

<file path=xl/sharedStrings.xml><?xml version="1.0" encoding="utf-8"?>
<sst xmlns="http://schemas.openxmlformats.org/spreadsheetml/2006/main" count="432" uniqueCount="105">
  <si>
    <t>Order No</t>
  </si>
  <si>
    <t>Customer Name</t>
  </si>
  <si>
    <t>Retail Price (USD)</t>
  </si>
  <si>
    <t>Order Quantity</t>
  </si>
  <si>
    <t>Total (USD)</t>
  </si>
  <si>
    <t>John Smith</t>
  </si>
  <si>
    <t>Jane Doe</t>
  </si>
  <si>
    <t>Michael Johnson</t>
  </si>
  <si>
    <t>Emily Brown</t>
  </si>
  <si>
    <t>David Wilson</t>
  </si>
  <si>
    <t>Lisa Taylor</t>
  </si>
  <si>
    <t>Daniel Martinez</t>
  </si>
  <si>
    <t>Sarah Anderson</t>
  </si>
  <si>
    <t>Christopher Thomas</t>
  </si>
  <si>
    <t>Kimberly Garcia</t>
  </si>
  <si>
    <t>William Hernandez</t>
  </si>
  <si>
    <t>Melissa Lopez</t>
  </si>
  <si>
    <t>Richard Perez</t>
  </si>
  <si>
    <t>Jessica Gonzalez</t>
  </si>
  <si>
    <t>Matthew Wilson</t>
  </si>
  <si>
    <t>Amanda Martinez</t>
  </si>
  <si>
    <t>James Johnson</t>
  </si>
  <si>
    <t>Laura Brown</t>
  </si>
  <si>
    <t>Daniel Smith</t>
  </si>
  <si>
    <t>Jennifer Davis</t>
  </si>
  <si>
    <t>Michael Garcia</t>
  </si>
  <si>
    <t>Amy Hernandez</t>
  </si>
  <si>
    <t>Christopher Rodriguez</t>
  </si>
  <si>
    <t>Jessica Martinez</t>
  </si>
  <si>
    <t>Sarah Smith</t>
  </si>
  <si>
    <t>Matthew Johnson</t>
  </si>
  <si>
    <t>Emily Davis</t>
  </si>
  <si>
    <t>Daniel Wilson</t>
  </si>
  <si>
    <t>Jennifer Martinez</t>
  </si>
  <si>
    <t>Michael Smith</t>
  </si>
  <si>
    <t>Jessica Johnson</t>
  </si>
  <si>
    <t>David Brown</t>
  </si>
  <si>
    <t>Sarah Garcia</t>
  </si>
  <si>
    <t>Matthew Hernandez</t>
  </si>
  <si>
    <t>Emily Rodriguez</t>
  </si>
  <si>
    <t>Daniel Davis</t>
  </si>
  <si>
    <t>Jennifer Smith</t>
  </si>
  <si>
    <t>Sarah Johnson</t>
  </si>
  <si>
    <t>Matthew Garcia</t>
  </si>
  <si>
    <t>Daniel Hernandez</t>
  </si>
  <si>
    <t>Michael Martinez</t>
  </si>
  <si>
    <t>Jessica Wilson</t>
  </si>
  <si>
    <t>David Rodriguez</t>
  </si>
  <si>
    <t>Sarah Gonzalez</t>
  </si>
  <si>
    <t>Matthew Smith</t>
  </si>
  <si>
    <t>Emily Johnson</t>
  </si>
  <si>
    <t>Daniel Brown</t>
  </si>
  <si>
    <t>Jennifer Hernandez</t>
  </si>
  <si>
    <t>Michael Davis</t>
  </si>
  <si>
    <t>Jessica Smith</t>
  </si>
  <si>
    <t>David Martinez</t>
  </si>
  <si>
    <t>Year</t>
  </si>
  <si>
    <t>Month</t>
  </si>
  <si>
    <t>Jan</t>
  </si>
  <si>
    <t>Feb</t>
  </si>
  <si>
    <t>Mar</t>
  </si>
  <si>
    <t>Apr</t>
  </si>
  <si>
    <t>May</t>
  </si>
  <si>
    <t>Jun</t>
  </si>
  <si>
    <t>Jul</t>
  </si>
  <si>
    <t>Aug</t>
  </si>
  <si>
    <t>Sep</t>
  </si>
  <si>
    <t>Oct</t>
  </si>
  <si>
    <t>Nov</t>
  </si>
  <si>
    <t>Dec</t>
  </si>
  <si>
    <t>Category</t>
  </si>
  <si>
    <t>Computer</t>
  </si>
  <si>
    <t>Desktop</t>
  </si>
  <si>
    <t>Laptop</t>
  </si>
  <si>
    <t>I-Pad</t>
  </si>
  <si>
    <t>Macbook</t>
  </si>
  <si>
    <t>Iphone</t>
  </si>
  <si>
    <t>Harddisk</t>
  </si>
  <si>
    <t>Andriod</t>
  </si>
  <si>
    <t>Location</t>
  </si>
  <si>
    <t>California</t>
  </si>
  <si>
    <t>Texas</t>
  </si>
  <si>
    <t>Florida</t>
  </si>
  <si>
    <t>New York</t>
  </si>
  <si>
    <t>Illinois</t>
  </si>
  <si>
    <t>Pennsylvania</t>
  </si>
  <si>
    <t>Ohio</t>
  </si>
  <si>
    <t>Georgia</t>
  </si>
  <si>
    <t>Michigan</t>
  </si>
  <si>
    <t>North Carolina</t>
  </si>
  <si>
    <t>Sum of Total (USD)</t>
  </si>
  <si>
    <t>Total Sales</t>
  </si>
  <si>
    <t>Total Quantity</t>
  </si>
  <si>
    <t>Sum of Order Quantity</t>
  </si>
  <si>
    <t>Total By Year</t>
  </si>
  <si>
    <t>Row Labels</t>
  </si>
  <si>
    <t>Grand Total</t>
  </si>
  <si>
    <t>Count by Location</t>
  </si>
  <si>
    <t>Sales By Category</t>
  </si>
  <si>
    <t>Sales</t>
  </si>
  <si>
    <t>Customer Count By Year</t>
  </si>
  <si>
    <t>Count of Customer Name</t>
  </si>
  <si>
    <t>Top 5 Customer</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</si>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</sst>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7" x14ac:knownFonts="1">
    <font>
      <sz val="11"/>
      <color theme="1"/>
      <name val="Aptos Narrow"/>
      <family val="2"/>
      <scheme val="minor"/>
    </font>
    <font>
      <sz val="11"/>
      <color theme="1"/>
      <name val="Calibri"/>
      <family val="2"/>
    </font>
    <font>
      <b/>
      <sz val="12"/>
      <color rgb="FFFFFFFF"/>
      <name val="Calibri"/>
      <family val="2"/>
    </font>
    <font>
      <sz val="11"/>
      <color rgb="FF000000"/>
      <name val="Calibri"/>
      <family val="2"/>
    </font>
    <font>
      <sz val="8"/>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272760"/>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2">
    <xf numFmtId="0" fontId="0" fillId="0" borderId="0"/>
    <xf numFmtId="9" fontId="5" fillId="0" borderId="0" applyFont="0" applyFill="0" applyBorder="0" applyAlignment="0" applyProtection="0"/>
  </cellStyleXfs>
  <cellXfs count="18">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1" xfId="0" applyFont="1" applyBorder="1" applyAlignment="1">
      <alignment vertical="center"/>
    </xf>
    <xf numFmtId="14" fontId="1" fillId="0" borderId="0" xfId="0" applyNumberFormat="1" applyFont="1"/>
    <xf numFmtId="0" fontId="3" fillId="0" borderId="3" xfId="0" applyFont="1" applyBorder="1" applyAlignment="1">
      <alignment vertical="center"/>
    </xf>
    <xf numFmtId="0" fontId="0" fillId="0" borderId="0" xfId="0" applyAlignment="1">
      <alignment horizontal="left" vertical="center" indent="1"/>
    </xf>
    <xf numFmtId="164" fontId="2" fillId="2" borderId="1" xfId="0" applyNumberFormat="1" applyFont="1" applyFill="1" applyBorder="1" applyAlignment="1">
      <alignment horizontal="center" vertical="center"/>
    </xf>
    <xf numFmtId="164" fontId="3" fillId="0" borderId="1" xfId="0" applyNumberFormat="1" applyFont="1" applyBorder="1" applyAlignment="1">
      <alignment vertical="center"/>
    </xf>
    <xf numFmtId="164" fontId="1" fillId="0" borderId="0" xfId="0" applyNumberFormat="1" applyFont="1"/>
    <xf numFmtId="164" fontId="2" fillId="2" borderId="2" xfId="0" applyNumberFormat="1" applyFont="1" applyFill="1" applyBorder="1" applyAlignment="1">
      <alignment horizontal="center" vertical="center"/>
    </xf>
    <xf numFmtId="1" fontId="3" fillId="0" borderId="1" xfId="0" applyNumberFormat="1" applyFont="1" applyBorder="1" applyAlignment="1">
      <alignment vertical="center"/>
    </xf>
    <xf numFmtId="164" fontId="0" fillId="0" borderId="0" xfId="0" applyNumberFormat="1"/>
    <xf numFmtId="0" fontId="0" fillId="0" borderId="0" xfId="0" pivotButton="1"/>
    <xf numFmtId="0" fontId="6" fillId="0" borderId="0" xfId="0" applyFont="1"/>
    <xf numFmtId="1" fontId="0" fillId="0" borderId="0" xfId="0" applyNumberFormat="1"/>
    <xf numFmtId="0" fontId="0" fillId="0" borderId="0" xfId="0" applyAlignment="1">
      <alignment horizontal="left"/>
    </xf>
    <xf numFmtId="1" fontId="0" fillId="0" borderId="0" xfId="1" applyNumberFormat="1" applyFont="1"/>
  </cellXfs>
  <cellStyles count="2">
    <cellStyle name="Normal" xfId="0" builtinId="0"/>
    <cellStyle name="Percent" xfId="1" builtinId="5"/>
  </cellStyles>
  <dxfs count="2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z val="11"/>
        <name val="Calibri"/>
        <family val="2"/>
        <scheme val="none"/>
      </font>
      <fill>
        <patternFill>
          <bgColor theme="3" tint="0.499984740745262"/>
        </patternFill>
      </fill>
    </dxf>
  </dxfs>
  <tableStyles count="1" defaultTableStyle="TableStyleMedium2" defaultPivotStyle="PivotStyleLight16">
    <tableStyle name="Slicer Style 1" pivot="0" table="0" count="2" xr9:uid="{FDDCBB20-1249-45D4-B334-1996049C2CD6}">
      <tableStyleElement type="wholeTable" dxfId="22"/>
    </tableStyle>
  </tableStyles>
  <colors>
    <mruColors>
      <color rgb="FF4781DF"/>
    </mruColors>
  </colors>
  <extLst>
    <ext xmlns:x14="http://schemas.microsoft.com/office/spreadsheetml/2009/9/main" uri="{46F421CA-312F-682f-3DD2-61675219B42D}">
      <x14:dxfs count="1">
        <dxf>
          <font>
            <b val="0"/>
            <i val="0"/>
            <sz val="10"/>
            <name val="Calibri"/>
            <family val="2"/>
            <scheme val="none"/>
          </font>
          <fill>
            <patternFill>
              <bgColor rgb="FF4781DF"/>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Table'!$D$4:$D$5</c:f>
              <c:strCache>
                <c:ptCount val="1"/>
                <c:pt idx="0">
                  <c:v>Andriod</c:v>
                </c:pt>
              </c:strCache>
            </c:strRef>
          </c:tx>
          <c:spPr>
            <a:solidFill>
              <a:schemeClr val="accent1"/>
            </a:solidFill>
            <a:ln>
              <a:noFill/>
            </a:ln>
            <a:effectLst/>
            <a:sp3d/>
          </c:spPr>
          <c:invertIfNegative val="0"/>
          <c:cat>
            <c:strRef>
              <c:f>'Pivot Table'!$C$6:$C$10</c:f>
              <c:strCache>
                <c:ptCount val="4"/>
                <c:pt idx="0">
                  <c:v>2022</c:v>
                </c:pt>
                <c:pt idx="1">
                  <c:v>2023</c:v>
                </c:pt>
                <c:pt idx="2">
                  <c:v>2024</c:v>
                </c:pt>
                <c:pt idx="3">
                  <c:v>2025</c:v>
                </c:pt>
              </c:strCache>
            </c:strRef>
          </c:cat>
          <c:val>
            <c:numRef>
              <c:f>'Pivot Table'!$D$6:$D$10</c:f>
              <c:numCache>
                <c:formatCode>_-[$$-409]* #,##0.00_ ;_-[$$-409]* \-#,##0.00\ ;_-[$$-409]* "-"??_ ;_-@_ </c:formatCode>
                <c:ptCount val="4"/>
                <c:pt idx="3">
                  <c:v>3895.828363636364</c:v>
                </c:pt>
              </c:numCache>
            </c:numRef>
          </c:val>
          <c:extLst>
            <c:ext xmlns:c16="http://schemas.microsoft.com/office/drawing/2014/chart" uri="{C3380CC4-5D6E-409C-BE32-E72D297353CC}">
              <c16:uniqueId val="{00000000-CA8C-4B66-9DF9-B5DDA6F32E27}"/>
            </c:ext>
          </c:extLst>
        </c:ser>
        <c:ser>
          <c:idx val="1"/>
          <c:order val="1"/>
          <c:tx>
            <c:strRef>
              <c:f>'Pivot Table'!$E$4:$E$5</c:f>
              <c:strCache>
                <c:ptCount val="1"/>
                <c:pt idx="0">
                  <c:v>Computer</c:v>
                </c:pt>
              </c:strCache>
            </c:strRef>
          </c:tx>
          <c:spPr>
            <a:solidFill>
              <a:schemeClr val="accent2"/>
            </a:solidFill>
            <a:ln>
              <a:noFill/>
            </a:ln>
            <a:effectLst/>
            <a:sp3d/>
          </c:spPr>
          <c:invertIfNegative val="0"/>
          <c:cat>
            <c:strRef>
              <c:f>'Pivot Table'!$C$6:$C$10</c:f>
              <c:strCache>
                <c:ptCount val="4"/>
                <c:pt idx="0">
                  <c:v>2022</c:v>
                </c:pt>
                <c:pt idx="1">
                  <c:v>2023</c:v>
                </c:pt>
                <c:pt idx="2">
                  <c:v>2024</c:v>
                </c:pt>
                <c:pt idx="3">
                  <c:v>2025</c:v>
                </c:pt>
              </c:strCache>
            </c:strRef>
          </c:cat>
          <c:val>
            <c:numRef>
              <c:f>'Pivot Table'!$E$6:$E$10</c:f>
              <c:numCache>
                <c:formatCode>_-[$$-409]* #,##0.00_ ;_-[$$-409]* \-#,##0.00\ ;_-[$$-409]* "-"??_ ;_-@_ </c:formatCode>
                <c:ptCount val="4"/>
                <c:pt idx="0">
                  <c:v>7039.1399999999994</c:v>
                </c:pt>
              </c:numCache>
            </c:numRef>
          </c:val>
          <c:extLst>
            <c:ext xmlns:c16="http://schemas.microsoft.com/office/drawing/2014/chart" uri="{C3380CC4-5D6E-409C-BE32-E72D297353CC}">
              <c16:uniqueId val="{00000001-3B03-447F-B45C-B8E032B4C483}"/>
            </c:ext>
          </c:extLst>
        </c:ser>
        <c:ser>
          <c:idx val="2"/>
          <c:order val="2"/>
          <c:tx>
            <c:strRef>
              <c:f>'Pivot Table'!$F$4:$F$5</c:f>
              <c:strCache>
                <c:ptCount val="1"/>
                <c:pt idx="0">
                  <c:v>Desktop</c:v>
                </c:pt>
              </c:strCache>
            </c:strRef>
          </c:tx>
          <c:spPr>
            <a:solidFill>
              <a:schemeClr val="accent3"/>
            </a:solidFill>
            <a:ln>
              <a:noFill/>
            </a:ln>
            <a:effectLst/>
            <a:sp3d/>
          </c:spPr>
          <c:invertIfNegative val="0"/>
          <c:cat>
            <c:strRef>
              <c:f>'Pivot Table'!$C$6:$C$10</c:f>
              <c:strCache>
                <c:ptCount val="4"/>
                <c:pt idx="0">
                  <c:v>2022</c:v>
                </c:pt>
                <c:pt idx="1">
                  <c:v>2023</c:v>
                </c:pt>
                <c:pt idx="2">
                  <c:v>2024</c:v>
                </c:pt>
                <c:pt idx="3">
                  <c:v>2025</c:v>
                </c:pt>
              </c:strCache>
            </c:strRef>
          </c:cat>
          <c:val>
            <c:numRef>
              <c:f>'Pivot Table'!$F$6:$F$10</c:f>
              <c:numCache>
                <c:formatCode>_-[$$-409]* #,##0.00_ ;_-[$$-409]* \-#,##0.00\ ;_-[$$-409]* "-"??_ ;_-@_ </c:formatCode>
                <c:ptCount val="4"/>
                <c:pt idx="1">
                  <c:v>8348.8100000000013</c:v>
                </c:pt>
              </c:numCache>
            </c:numRef>
          </c:val>
          <c:extLst>
            <c:ext xmlns:c16="http://schemas.microsoft.com/office/drawing/2014/chart" uri="{C3380CC4-5D6E-409C-BE32-E72D297353CC}">
              <c16:uniqueId val="{00000002-3B03-447F-B45C-B8E032B4C483}"/>
            </c:ext>
          </c:extLst>
        </c:ser>
        <c:ser>
          <c:idx val="3"/>
          <c:order val="3"/>
          <c:tx>
            <c:strRef>
              <c:f>'Pivot Table'!$G$4:$G$5</c:f>
              <c:strCache>
                <c:ptCount val="1"/>
                <c:pt idx="0">
                  <c:v>Harddisk</c:v>
                </c:pt>
              </c:strCache>
            </c:strRef>
          </c:tx>
          <c:spPr>
            <a:solidFill>
              <a:schemeClr val="accent4"/>
            </a:solidFill>
            <a:ln>
              <a:noFill/>
            </a:ln>
            <a:effectLst/>
            <a:sp3d/>
          </c:spPr>
          <c:invertIfNegative val="0"/>
          <c:cat>
            <c:strRef>
              <c:f>'Pivot Table'!$C$6:$C$10</c:f>
              <c:strCache>
                <c:ptCount val="4"/>
                <c:pt idx="0">
                  <c:v>2022</c:v>
                </c:pt>
                <c:pt idx="1">
                  <c:v>2023</c:v>
                </c:pt>
                <c:pt idx="2">
                  <c:v>2024</c:v>
                </c:pt>
                <c:pt idx="3">
                  <c:v>2025</c:v>
                </c:pt>
              </c:strCache>
            </c:strRef>
          </c:cat>
          <c:val>
            <c:numRef>
              <c:f>'Pivot Table'!$G$6:$G$10</c:f>
              <c:numCache>
                <c:formatCode>_-[$$-409]* #,##0.00_ ;_-[$$-409]* \-#,##0.00\ ;_-[$$-409]* "-"??_ ;_-@_ </c:formatCode>
                <c:ptCount val="4"/>
                <c:pt idx="2">
                  <c:v>5555.3680000000004</c:v>
                </c:pt>
              </c:numCache>
            </c:numRef>
          </c:val>
          <c:extLst>
            <c:ext xmlns:c16="http://schemas.microsoft.com/office/drawing/2014/chart" uri="{C3380CC4-5D6E-409C-BE32-E72D297353CC}">
              <c16:uniqueId val="{00000003-3B03-447F-B45C-B8E032B4C483}"/>
            </c:ext>
          </c:extLst>
        </c:ser>
        <c:ser>
          <c:idx val="4"/>
          <c:order val="4"/>
          <c:tx>
            <c:strRef>
              <c:f>'Pivot Table'!$H$4:$H$5</c:f>
              <c:strCache>
                <c:ptCount val="1"/>
                <c:pt idx="0">
                  <c:v>I-Pad</c:v>
                </c:pt>
              </c:strCache>
            </c:strRef>
          </c:tx>
          <c:spPr>
            <a:solidFill>
              <a:schemeClr val="accent5"/>
            </a:solidFill>
            <a:ln>
              <a:noFill/>
            </a:ln>
            <a:effectLst/>
            <a:sp3d/>
          </c:spPr>
          <c:invertIfNegative val="0"/>
          <c:cat>
            <c:strRef>
              <c:f>'Pivot Table'!$C$6:$C$10</c:f>
              <c:strCache>
                <c:ptCount val="4"/>
                <c:pt idx="0">
                  <c:v>2022</c:v>
                </c:pt>
                <c:pt idx="1">
                  <c:v>2023</c:v>
                </c:pt>
                <c:pt idx="2">
                  <c:v>2024</c:v>
                </c:pt>
                <c:pt idx="3">
                  <c:v>2025</c:v>
                </c:pt>
              </c:strCache>
            </c:strRef>
          </c:cat>
          <c:val>
            <c:numRef>
              <c:f>'Pivot Table'!$H$6:$H$10</c:f>
              <c:numCache>
                <c:formatCode>_-[$$-409]* #,##0.00_ ;_-[$$-409]* \-#,##0.00\ ;_-[$$-409]* "-"??_ ;_-@_ </c:formatCode>
                <c:ptCount val="4"/>
                <c:pt idx="3">
                  <c:v>5270.8910909090919</c:v>
                </c:pt>
              </c:numCache>
            </c:numRef>
          </c:val>
          <c:extLst>
            <c:ext xmlns:c16="http://schemas.microsoft.com/office/drawing/2014/chart" uri="{C3380CC4-5D6E-409C-BE32-E72D297353CC}">
              <c16:uniqueId val="{00000004-3B03-447F-B45C-B8E032B4C483}"/>
            </c:ext>
          </c:extLst>
        </c:ser>
        <c:ser>
          <c:idx val="5"/>
          <c:order val="5"/>
          <c:tx>
            <c:strRef>
              <c:f>'Pivot Table'!$I$4:$I$5</c:f>
              <c:strCache>
                <c:ptCount val="1"/>
                <c:pt idx="0">
                  <c:v>Iphone</c:v>
                </c:pt>
              </c:strCache>
            </c:strRef>
          </c:tx>
          <c:spPr>
            <a:solidFill>
              <a:schemeClr val="accent6"/>
            </a:solidFill>
            <a:ln>
              <a:noFill/>
            </a:ln>
            <a:effectLst/>
            <a:sp3d/>
          </c:spPr>
          <c:invertIfNegative val="0"/>
          <c:cat>
            <c:strRef>
              <c:f>'Pivot Table'!$C$6:$C$10</c:f>
              <c:strCache>
                <c:ptCount val="4"/>
                <c:pt idx="0">
                  <c:v>2022</c:v>
                </c:pt>
                <c:pt idx="1">
                  <c:v>2023</c:v>
                </c:pt>
                <c:pt idx="2">
                  <c:v>2024</c:v>
                </c:pt>
                <c:pt idx="3">
                  <c:v>2025</c:v>
                </c:pt>
              </c:strCache>
            </c:strRef>
          </c:cat>
          <c:val>
            <c:numRef>
              <c:f>'Pivot Table'!$I$6:$I$10</c:f>
              <c:numCache>
                <c:formatCode>_-[$$-409]* #,##0.00_ ;_-[$$-409]* \-#,##0.00\ ;_-[$$-409]* "-"??_ ;_-@_ </c:formatCode>
                <c:ptCount val="4"/>
                <c:pt idx="1">
                  <c:v>9698.7900000000009</c:v>
                </c:pt>
              </c:numCache>
            </c:numRef>
          </c:val>
          <c:extLst>
            <c:ext xmlns:c16="http://schemas.microsoft.com/office/drawing/2014/chart" uri="{C3380CC4-5D6E-409C-BE32-E72D297353CC}">
              <c16:uniqueId val="{00000005-3B03-447F-B45C-B8E032B4C483}"/>
            </c:ext>
          </c:extLst>
        </c:ser>
        <c:ser>
          <c:idx val="6"/>
          <c:order val="6"/>
          <c:tx>
            <c:strRef>
              <c:f>'Pivot Table'!$J$4:$J$5</c:f>
              <c:strCache>
                <c:ptCount val="1"/>
                <c:pt idx="0">
                  <c:v>Laptop</c:v>
                </c:pt>
              </c:strCache>
            </c:strRef>
          </c:tx>
          <c:spPr>
            <a:solidFill>
              <a:schemeClr val="accent1">
                <a:lumMod val="60000"/>
              </a:schemeClr>
            </a:solidFill>
            <a:ln>
              <a:noFill/>
            </a:ln>
            <a:effectLst/>
            <a:sp3d/>
          </c:spPr>
          <c:invertIfNegative val="0"/>
          <c:cat>
            <c:strRef>
              <c:f>'Pivot Table'!$C$6:$C$10</c:f>
              <c:strCache>
                <c:ptCount val="4"/>
                <c:pt idx="0">
                  <c:v>2022</c:v>
                </c:pt>
                <c:pt idx="1">
                  <c:v>2023</c:v>
                </c:pt>
                <c:pt idx="2">
                  <c:v>2024</c:v>
                </c:pt>
                <c:pt idx="3">
                  <c:v>2025</c:v>
                </c:pt>
              </c:strCache>
            </c:strRef>
          </c:cat>
          <c:val>
            <c:numRef>
              <c:f>'Pivot Table'!$J$6:$J$10</c:f>
              <c:numCache>
                <c:formatCode>_-[$$-409]* #,##0.00_ ;_-[$$-409]* \-#,##0.00\ ;_-[$$-409]* "-"??_ ;_-@_ </c:formatCode>
                <c:ptCount val="4"/>
                <c:pt idx="2">
                  <c:v>7037.152</c:v>
                </c:pt>
              </c:numCache>
            </c:numRef>
          </c:val>
          <c:extLst>
            <c:ext xmlns:c16="http://schemas.microsoft.com/office/drawing/2014/chart" uri="{C3380CC4-5D6E-409C-BE32-E72D297353CC}">
              <c16:uniqueId val="{00000006-3B03-447F-B45C-B8E032B4C483}"/>
            </c:ext>
          </c:extLst>
        </c:ser>
        <c:ser>
          <c:idx val="7"/>
          <c:order val="7"/>
          <c:tx>
            <c:strRef>
              <c:f>'Pivot Table'!$K$4:$K$5</c:f>
              <c:strCache>
                <c:ptCount val="1"/>
                <c:pt idx="0">
                  <c:v>Macbook</c:v>
                </c:pt>
              </c:strCache>
            </c:strRef>
          </c:tx>
          <c:spPr>
            <a:solidFill>
              <a:schemeClr val="accent2">
                <a:lumMod val="60000"/>
              </a:schemeClr>
            </a:solidFill>
            <a:ln>
              <a:noFill/>
            </a:ln>
            <a:effectLst/>
            <a:sp3d/>
          </c:spPr>
          <c:invertIfNegative val="0"/>
          <c:cat>
            <c:strRef>
              <c:f>'Pivot Table'!$C$6:$C$10</c:f>
              <c:strCache>
                <c:ptCount val="4"/>
                <c:pt idx="0">
                  <c:v>2022</c:v>
                </c:pt>
                <c:pt idx="1">
                  <c:v>2023</c:v>
                </c:pt>
                <c:pt idx="2">
                  <c:v>2024</c:v>
                </c:pt>
                <c:pt idx="3">
                  <c:v>2025</c:v>
                </c:pt>
              </c:strCache>
            </c:strRef>
          </c:cat>
          <c:val>
            <c:numRef>
              <c:f>'Pivot Table'!$K$6:$K$10</c:f>
              <c:numCache>
                <c:formatCode>_-[$$-409]* #,##0.00_ ;_-[$$-409]* \-#,##0.00\ ;_-[$$-409]* "-"??_ ;_-@_ </c:formatCode>
                <c:ptCount val="4"/>
                <c:pt idx="0">
                  <c:v>8019.159999999998</c:v>
                </c:pt>
              </c:numCache>
            </c:numRef>
          </c:val>
          <c:extLst>
            <c:ext xmlns:c16="http://schemas.microsoft.com/office/drawing/2014/chart" uri="{C3380CC4-5D6E-409C-BE32-E72D297353CC}">
              <c16:uniqueId val="{00000007-3B03-447F-B45C-B8E032B4C483}"/>
            </c:ext>
          </c:extLst>
        </c:ser>
        <c:dLbls>
          <c:showLegendKey val="0"/>
          <c:showVal val="0"/>
          <c:showCatName val="0"/>
          <c:showSerName val="0"/>
          <c:showPercent val="0"/>
          <c:showBubbleSize val="0"/>
        </c:dLbls>
        <c:gapWidth val="150"/>
        <c:shape val="box"/>
        <c:axId val="1783303183"/>
        <c:axId val="1783301263"/>
        <c:axId val="0"/>
      </c:bar3DChart>
      <c:catAx>
        <c:axId val="1783303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83301263"/>
        <c:crosses val="autoZero"/>
        <c:auto val="1"/>
        <c:lblAlgn val="ctr"/>
        <c:lblOffset val="100"/>
        <c:noMultiLvlLbl val="0"/>
      </c:catAx>
      <c:valAx>
        <c:axId val="1783301263"/>
        <c:scaling>
          <c:orientation val="minMax"/>
        </c:scaling>
        <c:delete val="1"/>
        <c:axPos val="l"/>
        <c:numFmt formatCode="_-[$$-409]* #,##0.00_ ;_-[$$-409]* \-#,##0.00\ ;_-[$$-409]* &quot;-&quot;??_ ;_-@_ " sourceLinked="1"/>
        <c:majorTickMark val="none"/>
        <c:minorTickMark val="none"/>
        <c:tickLblPos val="nextTo"/>
        <c:crossAx val="178330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IN"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Count By Year</a:t>
            </a:r>
            <a:endParaRPr lang="en-IN"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Table'!$AD$4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9B-494A-9FB0-4B3D774758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9B-494A-9FB0-4B3D774758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9B-494A-9FB0-4B3D774758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9B-494A-9FB0-4B3D77475801}"/>
              </c:ext>
            </c:extLst>
          </c:dPt>
          <c:cat>
            <c:strRef>
              <c:f>'Pivot Table'!$AC$5:$AC$9</c:f>
              <c:strCache>
                <c:ptCount val="4"/>
                <c:pt idx="0">
                  <c:v>2022</c:v>
                </c:pt>
                <c:pt idx="1">
                  <c:v>2023</c:v>
                </c:pt>
                <c:pt idx="2">
                  <c:v>2024</c:v>
                </c:pt>
                <c:pt idx="3">
                  <c:v>2025</c:v>
                </c:pt>
              </c:strCache>
            </c:strRef>
          </c:cat>
          <c:val>
            <c:numRef>
              <c:f>'Pivot Table'!$AD$5:$AD$9</c:f>
              <c:numCache>
                <c:formatCode>General</c:formatCode>
                <c:ptCount val="4"/>
                <c:pt idx="0">
                  <c:v>16</c:v>
                </c:pt>
                <c:pt idx="1">
                  <c:v>16</c:v>
                </c:pt>
                <c:pt idx="2">
                  <c:v>16</c:v>
                </c:pt>
                <c:pt idx="3">
                  <c:v>16</c:v>
                </c:pt>
              </c:numCache>
            </c:numRef>
          </c:val>
          <c:extLst>
            <c:ext xmlns:c16="http://schemas.microsoft.com/office/drawing/2014/chart" uri="{C3380CC4-5D6E-409C-BE32-E72D297353CC}">
              <c16:uniqueId val="{00000008-0C9B-494A-9FB0-4B3D774758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Table'!$AG$4</c:f>
              <c:strCache>
                <c:ptCount val="1"/>
                <c:pt idx="0">
                  <c:v>Total</c:v>
                </c:pt>
              </c:strCache>
            </c:strRef>
          </c:tx>
          <c:spPr>
            <a:solidFill>
              <a:schemeClr val="accent1"/>
            </a:solidFill>
            <a:ln>
              <a:noFill/>
            </a:ln>
            <a:effectLst/>
          </c:spPr>
          <c:invertIfNegative val="0"/>
          <c:cat>
            <c:strRef>
              <c:f>'Pivot Table'!$AF$5:$AF$10</c:f>
              <c:strCache>
                <c:ptCount val="5"/>
                <c:pt idx="0">
                  <c:v>Michael Johnson</c:v>
                </c:pt>
                <c:pt idx="1">
                  <c:v>John Smith</c:v>
                </c:pt>
                <c:pt idx="2">
                  <c:v>David Wilson</c:v>
                </c:pt>
                <c:pt idx="3">
                  <c:v>Lisa Taylor</c:v>
                </c:pt>
                <c:pt idx="4">
                  <c:v>Kimberly Garcia</c:v>
                </c:pt>
              </c:strCache>
            </c:strRef>
          </c:cat>
          <c:val>
            <c:numRef>
              <c:f>'Pivot Table'!$AG$5:$AG$10</c:f>
              <c:numCache>
                <c:formatCode>_-[$$-409]* #,##0.00_ ;_-[$$-409]* \-#,##0.00\ ;_-[$$-409]* "-"??_ ;_-@_ </c:formatCode>
                <c:ptCount val="5"/>
                <c:pt idx="0">
                  <c:v>4249.5</c:v>
                </c:pt>
                <c:pt idx="1">
                  <c:v>3599.6000000000004</c:v>
                </c:pt>
                <c:pt idx="2">
                  <c:v>2999.76</c:v>
                </c:pt>
                <c:pt idx="3">
                  <c:v>2779.74</c:v>
                </c:pt>
                <c:pt idx="4">
                  <c:v>2649.77</c:v>
                </c:pt>
              </c:numCache>
            </c:numRef>
          </c:val>
          <c:extLst>
            <c:ext xmlns:c16="http://schemas.microsoft.com/office/drawing/2014/chart" uri="{C3380CC4-5D6E-409C-BE32-E72D297353CC}">
              <c16:uniqueId val="{00000000-138F-4E43-861A-63E180166B29}"/>
            </c:ext>
          </c:extLst>
        </c:ser>
        <c:dLbls>
          <c:showLegendKey val="0"/>
          <c:showVal val="0"/>
          <c:showCatName val="0"/>
          <c:showSerName val="0"/>
          <c:showPercent val="0"/>
          <c:showBubbleSize val="0"/>
        </c:dLbls>
        <c:gapWidth val="219"/>
        <c:overlap val="-27"/>
        <c:axId val="14963519"/>
        <c:axId val="14960639"/>
      </c:barChart>
      <c:catAx>
        <c:axId val="14963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960639"/>
        <c:crosses val="autoZero"/>
        <c:auto val="1"/>
        <c:lblAlgn val="ctr"/>
        <c:lblOffset val="100"/>
        <c:noMultiLvlLbl val="0"/>
      </c:catAx>
      <c:valAx>
        <c:axId val="14960639"/>
        <c:scaling>
          <c:orientation val="minMax"/>
        </c:scaling>
        <c:delete val="1"/>
        <c:axPos val="l"/>
        <c:numFmt formatCode="_-[$$-409]* #,##0.00_ ;_-[$$-409]* \-#,##0.00\ ;_-[$$-409]* &quot;-&quot;??_ ;_-@_ " sourceLinked="1"/>
        <c:majorTickMark val="out"/>
        <c:minorTickMark val="none"/>
        <c:tickLblPos val="nextTo"/>
        <c:crossAx val="1496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49870902309841E-2"/>
          <c:y val="0.28985507246376813"/>
          <c:w val="0.93847877429637028"/>
          <c:h val="0.38191543991783633"/>
        </c:manualLayout>
      </c:layout>
      <c:barChart>
        <c:barDir val="col"/>
        <c:grouping val="clustered"/>
        <c:varyColors val="0"/>
        <c:ser>
          <c:idx val="0"/>
          <c:order val="0"/>
          <c:tx>
            <c:strRef>
              <c:f>'Pivot Table'!$AJ$4</c:f>
              <c:strCache>
                <c:ptCount val="1"/>
                <c:pt idx="0">
                  <c:v>Total</c:v>
                </c:pt>
              </c:strCache>
            </c:strRef>
          </c:tx>
          <c:spPr>
            <a:solidFill>
              <a:schemeClr val="accent1"/>
            </a:solidFill>
            <a:ln>
              <a:noFill/>
            </a:ln>
            <a:effectLst/>
          </c:spPr>
          <c:invertIfNegative val="0"/>
          <c:cat>
            <c:strRef>
              <c:f>'Pivot Table'!$AI$5:$AI$17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Table'!$AJ$5:$AJ$17</c:f>
              <c:numCache>
                <c:formatCode>_-[$$-409]* #,##0.00_ ;_-[$$-409]* \-#,##0.00\ ;_-[$$-409]* "-"??_ ;_-@_ </c:formatCode>
                <c:ptCount val="12"/>
                <c:pt idx="0">
                  <c:v>6049.35</c:v>
                </c:pt>
                <c:pt idx="1">
                  <c:v>6449.1</c:v>
                </c:pt>
                <c:pt idx="2">
                  <c:v>5899.15</c:v>
                </c:pt>
                <c:pt idx="3">
                  <c:v>5969.41</c:v>
                </c:pt>
                <c:pt idx="4">
                  <c:v>5649.35</c:v>
                </c:pt>
                <c:pt idx="5">
                  <c:v>4899</c:v>
                </c:pt>
                <c:pt idx="6">
                  <c:v>4509.6500000000005</c:v>
                </c:pt>
                <c:pt idx="7">
                  <c:v>1949.6</c:v>
                </c:pt>
                <c:pt idx="8">
                  <c:v>3359.6</c:v>
                </c:pt>
                <c:pt idx="9">
                  <c:v>6699.5</c:v>
                </c:pt>
                <c:pt idx="10">
                  <c:v>2183.7199999999998</c:v>
                </c:pt>
                <c:pt idx="11">
                  <c:v>1247.7094545454556</c:v>
                </c:pt>
              </c:numCache>
            </c:numRef>
          </c:val>
          <c:extLst>
            <c:ext xmlns:c16="http://schemas.microsoft.com/office/drawing/2014/chart" uri="{C3380CC4-5D6E-409C-BE32-E72D297353CC}">
              <c16:uniqueId val="{00000000-57F8-4973-BE91-5E5325C98F0C}"/>
            </c:ext>
          </c:extLst>
        </c:ser>
        <c:dLbls>
          <c:showLegendKey val="0"/>
          <c:showVal val="0"/>
          <c:showCatName val="0"/>
          <c:showSerName val="0"/>
          <c:showPercent val="0"/>
          <c:showBubbleSize val="0"/>
        </c:dLbls>
        <c:gapWidth val="219"/>
        <c:overlap val="-27"/>
        <c:axId val="1710567263"/>
        <c:axId val="1710566783"/>
      </c:barChart>
      <c:catAx>
        <c:axId val="17105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0566783"/>
        <c:crosses val="autoZero"/>
        <c:auto val="1"/>
        <c:lblAlgn val="ctr"/>
        <c:lblOffset val="100"/>
        <c:noMultiLvlLbl val="0"/>
      </c:catAx>
      <c:valAx>
        <c:axId val="1710566783"/>
        <c:scaling>
          <c:orientation val="minMax"/>
        </c:scaling>
        <c:delete val="1"/>
        <c:axPos val="l"/>
        <c:numFmt formatCode="_-[$$-409]* #,##0.00_ ;_-[$$-409]* \-#,##0.00\ ;_-[$$-409]* &quot;-&quot;??_ ;_-@_ " sourceLinked="1"/>
        <c:majorTickMark val="none"/>
        <c:minorTickMark val="none"/>
        <c:tickLblPos val="nextTo"/>
        <c:crossAx val="171056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tx>
        <cx:txData>
          <cx:v>Location Wise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Location Wise</a:t>
          </a:r>
        </a:p>
      </cx:txPr>
    </cx:title>
    <cx:plotArea>
      <cx:plotAreaRegion>
        <cx:series layoutId="regionMap" uniqueId="{83270FAE-F0A0-4164-9674-06F74BB4C1E1}">
          <cx:dataId val="0"/>
          <cx:layoutPr>
            <cx:geography cultureLanguage="en-US" cultureRegion="IN" attribution="Powered by Bing">
              <cx:geoCache provider="{E9337A44-BEBE-4D9F-B70C-5C5E7DAFC167}">
                <cx:binary>1Htpk9TIsuVfwfg8omNfrr1+ZiNlZq0USwHT8EVWQLV2hRTa9evniCy4VHY/uD3WZmPNB9JKS4aH
L8fdj0f+16f5X5/K+zv/ZK7KuvvXp/nXp2nfN//65ZfuU3pf3XXPquyTd537vX/2yVW/uN9/zz7d
//LZ301ZnfzCCBW/fErvfH8/P/3v/8K3Jffu2n266zNXvxru/fL6vhvKvvvBvT+99eTuc5XVu6zr
ffapp78+fXJ273yS3T15+uS+7rN+ebM0978+ffTY0ye/nH7ZHxZ+UkK2fviMdzl7poRhRlhKvvyj
T5+Urk4ebgeGPxNCcC2IOd7nX9e+uavw/oNEXy/+mUBfxLn7/Nnfdx229OXzuxcfSY/r//vpk09u
qPtNbQk0+OvTt3XW339+ctvf9ffd0ydZ56LjA5HbtvD29suef3ms+P/+r5ML0MLJle9sc6qyn936
o2le3td1t5TjXf232keQZ8YqZR+0T8iJfbR+ZrgxVmtiv/wzX01xtM/3Yn29858b6fHbJ5Z6+Q+1
1PPsU5old/XfGEVCPDNaaKsN/WaFR1Ekn2lOrLb24b76aoujlb6K9PXqf26hf795Yp3nF/+IOPpx
qH+Pco+e/KsoZ59JwqUGkH1Dse/tY+0zQg1X3Iqj/cRXSxztc4JA/7NYf451J68/2sk/BN4OpfPZ
578z8zDzTFopqXoICWtPMg97Jozmghn+zWZHxR9t8iDRV0P95yHz7cWTiDlc/yMi5pHUW1HwIs3c
34ll5JmgsIv9LqN8HyuGPcMdDsv8O5a+t8smzl83yvGtR3v79emL83+mRS7KMqtd1v29VqFMbBj1
gFCn0WKfUWEUl0YeEQz3v7fKV5G+Xv3Pw+Xfb55Y5+IfGi83zvfpk+jOO1jp70Q0Lp9JjsiQSPVf
/unHiKZhIyO5UUodEe2kCngs2F+31On7J/a6if6Z0XRzPz1573zxd0YTe2a5ZYJz9i23fI9xWj5T
uCMVfYi2U0s9iPT/YKNvb55a5/0/0zpv7ue7vxPoOH0mFDfC0D9vSFGqcZgNDQ87BtlJw/NFnr9u
l4fXTozy5rd/plGiuzL73fm/txXl+hmTAr0otcegOWlFKbXPFNVMU/FQ0n01w7Fg+7dQX6//50no
+3dPbBT9f2pD/2cy4Rvfsrvr7/ZfiJrv+IQf3/1KRJy8+pDLjwp71D981eXF51+fMoG+5Rv9s33F
oxrgpA05lgff3ru/6/pfnwZKPbOacyU1ag1LBQH0TffbLZj2maTMEmO5hCMYRF695dJfn2r6jEuh
0UAxQ5l8+qRzw3adGuAsQy1pKdzCwje+EWQvXbkkrv6mjYe/n9RD9dJldd+BmwLX1Bwf26TcVqSM
WEU508pysFa4/+nuNUg4PE3/V0lzX9OpkPeGxv1g96wRTVBGpBmz9Z2UQ1PcicDL7lC3S7eIXc9m
mc5R4GLyMam9qIPIsbnQlzaVy7ArbFC355Otyu55KasmWEJXzLL5KIs+n90OuipzHiVaC3qvZ7cM
r8t01uWdMbKJP/GKt+omUVnb8LCiWQdRRCN99SKlpJ/qXVJKXzShm2RVXVO9tBA5qSq6XLGK1/nv
QTc6vPOdSf9ESagxHunIEuQ1K1EmbpHKCDziex1pWmVDqlJzH0+uztvzvhKlOC/F2Hl9vnZJn03R
mjXAj5LEGYsPP16estP1tUZvgNRqOCwFYR6vv+bcdIqo7HNOC15kUe+45GloLQva/ODnKfH9zqd9
ItIwEMHa1C8nwZeORVSsauKXvUrrrgida7mnN1aaFvd+LCRc+HsdaYIMgmLZ8i2/b275WMY5zQKW
eh58VoEfCdslq050eyiN6DkJa98r9aGQJO4vfrzuiW22dYUVmjFJmDX8dN1mWJx2ATefkwU+p8KR
NGX3WypiVifhlGdD9qKOQU33YZo6xlT44+XRApxsWyOtgu21QhqGGHq87USOWUDmlH8OdKlbHsmJ
KHmHQAr6C7dmurzJAuroc160y3BbdISsadilWQml/FVJjDZKKGmIJSBdyGNJUp3GZb4Q/1moCSF3
WKhaaXGQfho6sc9MLNQHP0AFbdgprdUHR5bR2/2YOdJMP7EK4OmxWiQDBS6lUVLBNPzEG3qVkXwp
6vhTbNda+jPXNlW87IO46uxythg/w0V+vH96gmSaSEsEogSBygGn5kQBiV1zaZs++JhmXlfB+dyn
W0BUs0vBfg9TLlYRZVW3sCacLeNQhMxIOtxWjcqXqA6or29tlVa+3rXSefa6GrO6+/hjMTc8/Q5v
NaWcCEGEpBoYjtbzsZmGKTaetOv8cfa9hxOQoSCwD5knLoNw9nwMbhtWtFvQ9JPbPrImGX5inz8o
i1KlURMSsOCCC0DbYzFMy7p+6ZT7WJcyAIbnQK91CseF9Iu84rEE7nfJ4Iu7Kpc1ENU3lafy3AR5
MBZhmwJtN+RfUrxVZ2s5Xom5aFz1E1ihpwGGCogrzZQ2DBZW6iQ/zXyqG1uv/GMXMxVU+7zvmnJ4
2a591tTR1C4thAt0NeKeW9rKLTtTrEtwOzVNfNFZX+ZJVK0rWa6qtK37OKwtUXEfDZIE5WtV2WSt
IsbtDEhkQb7Q+pKstsS3Flk8te1PwpSionvkAExRTB+sIpRLBbbuBDHgmXU71mPzQUsncxk1xEi4
YhwP1vqIrjoAtMfLET3LQeDe8AVOGhob3Jqnnqv2MEz85zEkTlGcodqwCCRKGXrqP7hFMRddFaeu
+dB4RFG7511hxHNGU75c8W5YoA4bj+X6rkrnZdHhkPqpTSMA/qReJ+0aB+e+Evn6zgdDp25MprYC
YRZjVdqzYpCbeVzHLVxoGbUcXzc+L9Z3a6mKqQhJWW5JK4P2YSBX2xQX+eJRiZhqnmE7LvMFH91K
kt7sGtnx7qD0sNmumJMMBUb7ZXlrkmCZQuPmHF/hUDxA8iyot9qgb2RV3M2dqtvmYEdPx1vB3dpf
e1/EPizLyrMqCpK4ms8TgeT6vjZ1LN6NZKRwMm0S1BljWzuUKD/GhlPUhPY10RqMlNBKcnriGjxe
6oTapvyw0qrzSTgzopsunFzuygs+tBOA4scrnqIR08AiRpG3qUDuPl2x86RLp4pP7/k6bM44DWKD
P9bpAslbja1UH+Kcr3DCiQ19lzzXABb46Y/F2MrZR0HBtVJMI1dIRphAlfwYjlY+Dm1gVfWuEnXV
87B3gwzuXZu2QKO06Gq697F22cuxMwkQp0mlS/aJ6dnoQqP1VI5hz5L2qoyNup25L80SdhNV4+ve
BCSLWrnO7gpORNIwJyLOmlDEim7BnhL4oRtTVBcXcV70W+SPQvIXDPm+WUJeeD6PZz/e8SmuGY4E
hXIDu95mJOgJHu+4UHFaT22n345DTVDESu8Zithx3fxWoMgS5ymdZrjtXFiOj6T/UtkGqtlcmg/5
xOLbeFabS7M2Wyt/njWMbxDZrh2hh7Ycmy47W+VSIOriqdpqarqYCtGpaYsw+vGW2AmyGVRABmkT
qAYLgmo4geqW19Xq8pq9NX3KEVt9k2wC9AEfttD9EsdgiBbIFqfzFuLAyg1SfNMi0QQpRRlPZ7ld
cm3RFXelzbU4z6Zy00O7TE7dxO2Mp7KUb1tckkp1hyLQnh8a40feRQvyBbb7k62dVJnYmqUYm1CE
CpEC9d5ja/VzQXU5uOUtT8YNqXrfwrXWcs3cp56YgtXh0rt2fadZveXHKnAUBplVVSbLfq0U7ZOD
5cEwvUWV6qGOSecc3sfHFWhSZ4GFi4mpbDZ0GwCb5xlrJsBaj4oEC2Z9TPAXeiwKVVSJgCr6XqdB
H8lyyBESqWU5/jrqZ4PC4u7HSjiJUYNyAdWVZtKg7SR/KHXptAq1qDZ4M1baAR2O5S1LzTwWETrL
NKl/Bgsn6WhbUnAU9gRpiShUTY/VTnKHqrWZ9ZtuoPCQful7OBRyP/Qj8kY4uY+nwM1dqEq+QOHl
GNcoWQB60NLk57J/qVVn4vwQ98IADBCQ42sP3hIZoAoQ+P1cI1E9mC1ppxqqnEtTI1YQRZs5kmLe
DBHkGcWHXXI7viaucpBEFgVyU6H6rU/9sbaF5djcd5UiNr8lAYAEBfnzx44K5WAXJGRe3qTposo4
7IeCN1E8kTi/UWwVftm3qVeNCS1jNk9D79usvSTlwGcZNqh2giufVIF4Hlep5lE7uTn5RLKSnE/x
INSu0LUrP4u8XP3ryqkKZ3NWWk4vxEjJvO5MXlvZRC3qx244TJM0441v03h2oapIRa858dTu6tpb
GuVzP/g4dLNp1zxM69GLOUrmYkQwjKufljKcA5mL/GAZHcStKvtFJBGZ6TANZ42dUhqjfouT/qJP
NSqzSK/ltK5oa+GKzcVcLPEQtl2Tq8NodcJ3sgrm9c2kHMveDaJM4h0XPaPRgv7ULaFK+s7ubMam
IkpkmZxrxvtd68i0XsW2JuSMTjRlhyToTEr2TeEq8XaRY1IEb60j8/xm7mfePw+6vg5eI2Po4bP0
Svm3qx6T2oWNczTtXtl5LYuzOAO7cVidMJULbeE4SyPt1641H2mVm/pzyho3zju4ytLe26GfJhIV
5dTR/LyP61aaHfoAWaqzuAoKdWOpDoribFQN68r0PjU176HlmXLjxfOVuxEuvVLfNekrrkivyL6u
RdPoi8HGWVpe13Iu2mSfj0k/jdeTjJMsO8Simgb5Oq4Zby9ULtLEHOArihdhM64Eab3sTDbZMAmE
avtdGvs1Xy6mpAvS7GzKKmSbqLCTAMCOTTbI31wwKNldwDmmII4mjrKF3gwNqi4b9gs3s3pRMq3x
0R8vBllW4h6GoQLLra4T7cd1aC0bL3Plm4Sd0zkItI6WXBaDPpvrnFZlKMW45UUigwzbSbhEUrmb
40URG+UytTJ5sUzN1OiXeRzkU3nQBQ9Yc1EMizXjC5VzmdmwtXbjJLTvZVq800kcB+uVEGUHTQVL
C8h+DtRuU3kV8Njr8ppmbUbLl3k+5SbeTzmAINm7jHLIDsjaRFrGoCRsT5J0ydodaYrcm13dk0DW
v7GE1Vivyktr3w6JadvIo/WGZpkZMmSQiKp0+xLIj5IlbFu71fQi7bD7qElpzdUhT6dNY7zsC3y4
Lu2D27rSG+SLsU+MjuzUOzjAWqPeOOutr/Bcc9xq2ssV6mtzjX/IJV2M1cqUosmsabaZhzYiZfL/
0HLe9FwLm4NLCobAwxRBXZhU3LctGpr24LMMlVY0GbroNspMKocAFhRDO7zr83rIaugrSFd3lg6r
oPNzk+tN5AyWbtZbBc/CChy32o9xMG8OpnywWV4uAa6VttpUM44UjyLFmnaCDGPdYdnoYT/ec95+
BOGW4pqcG6duCyliyyMxWRBAYaNTCl08eE+8dhZfqfNg21zcL1+UMcBrfPRQ41q5yu0v3sniOSeZ
D24fVB0cH/+q5ONzYApY8VyzpoIAtA7S8WORqSbzZ1nNF2y6ZSuORIYJ40lGbtGAJ86G8mgot449
XA2d9+CTi5raJZYhLdJxUS9sNThoaWRViUdYA47NR6A54tGGBVm2ojepJMPFUiek/WiPGnQNIgi4
dtxTyjL0aFHjajXR82UwW3dOjqY9uoeKixL6USLDG3upy23zs1pS+GlC/bZMKlKFi4triU7frkEm
hv4SO+Wbeo+OtA7LACmxye1baOY7vIezQhze1fXpJvpRocE6rfjDldwJvQ+IrIv8YmVSz81ZQkAi
kf2UDQ4xbfNkYz66CfbNRs3aj1QlNdynk6hYsXk/oth90YHL3r6QjduHGBODj7ImWzhUq9zkrweV
pNPboUzKJDvUicH3pi2nCT8vukXT/ooffSXLO9vrsweV23z0EGfOeIEvQQZwWDxvsgJ5fqTtqshb
VG65GXdNG/R1FpEuibG4zFNMjXZ92YDbLEEYgLKBmdLhQrtkC+cB+RXXimVQuTkUKBbn5ZLbrpzd
eS8cqaqotKKsxjDuEtCG1NIBz6d92+EDRaMsb6p2wP9LNYG3k2SioIpacPnlzVj0MUiByedYnaaJ
G9+pOp7RBcTLuvn+ZAHl+WHmLQPCGJ+Wg9mXFVJstZ+DOrbdhbRIVfN7ouYceJOUzhXF+QOdnPdl
6vPDkJbodz8tosP897zJU6jjjH+JmdaZEgrr4qmI13c8NW7q37Z8Sid13h+3Ptukg4p4M68FdlQk
Uyf3aiUUKNd7samPzs3mNeCrNhc/8qemKyZogA5s22+fZQwfHg6O59sM7GMQZuUKXtkKVtQ2BGWx
qOo5b6jHE2qhWw87yqGDXx1JlpXK0seHoW59zC6SuF3xHeuReovRloM1bKUoQFHGtEDrW1Xoneqo
L0FMyKuqUFs89WLKQMInhekBlVzFC3JetwBp8gN6vU15Q8Y3qoANpgAXn5d1gtf9UmKX7yeUZ3Fw
OcWd99mN5flGUroB6e65LmKu+lcCNNYS7+c4D5b0oKZGlt0O1AVVItQggdQHkXCKlhzJ0ML4ayBW
7ErV1ZY2Khlv7uaZp3C+oybz3oGJ5hnJ+Hg5rbKK9atiHabg1qOYBquwNq1VH4C38K9galZoIBdk
20Pc1AHAH+3lxlKVGepVVNa2clPzQdklbelHMZeqvFGqbZb4IJjr+uD3KaP5HO+R0Xgpw64E/x1E
pqTavwMjORX9G5K0eZJEsVx4Or+eNGqb9rMds7Fl77vYgJo488UwVjYK2NoV71YxMOHCAdlhRrNP
qUNNqbW0Ax3g5VVuWTTiYqDHUE+YTM27h50cbdk2OQjiSEq+bNv6AjdlOW74Z5dkQxNU/1vwZl21
PVF/Ye/jnG3XJCUBnliSZXsw5mAnqj069222kZVxg1BOUC3GN2u/0GafI1C3qLTVdufBZVFTAoms
xLAHI4AvFPwGp0ES+XnxXIeUeWJeDqlOJhdOpAZhL5Y1tuxiaustypNg3ejADnMifAiUZf1FuxL4
tyCYP9yAt9wkLzJMGj88LCS9RUpr4SrB7bFjq7N81UWY180gXhVHwCqORGNr6EZGB2W7kZCdV16I
XZVUrYvDtFVDcDtkssGe+wlTvPEyY8lWxqVixhp6LDexhi8BF7gCeSSM5bAFecO2MeOunubNJ3W8
siILZdrVVbVP8xLReDgqBDzwBnoFTmXhe0VHg/wqZbzU5ifE10lDDy4H+AAPZgA3Rf9AK6c9Zgjg
q9lt6pyC1DpJZkTD5ACzbSC2CCpHEC9pOGbtJvtPurvHvd22vNpmNeR4WvOUfvfD7IKp06CqjtCY
gwOGFOgDEEk/XuqEQEc0ERwqxFqgrPC/2tr67wa8kylaE6OU/OojpJidi9omFuIFTl9v3m1Vuhl1
yHJY2AkvYLIHcPyxLI8pBEkI/MfQ7bgWxuHwc/ZYlnjkDPRtntxaTNXUh0zSrR7vOpxZ3a8OpfPP
9PzHBXGiBcSBMpaBXLQnvGKRekLLisSv27lGokgKZPwLvRSAuYfI/vEG6Ubb/btp33a4neGUmjLD
KMZRJwvOZS6Sui/V6wfEmNJ1I+0XxRcpD7PozHjIm3j1r4aJL/muGuoNz7kHNATdKpCPfiLRY0+H
RGiljEXy0lYKUHQnRONiSTDphbevy2NQTajrEOPzUMTA9cyMGUyQimFBZFqO5IDSIkg3QfKGt8Ma
jS06+4OsuJMknAEtSwSob/E44iOmN9nC0U9G03Ge1Rxh9sebODUjDCcIJxITE0qpOZ2yIu+2PZuD
8Sbtig2Z1i+FUNPJeni1BGYQOFb57QzHy6O9vj8V8WfrSfJwGHc7WvjYT/WMaoQZMtw8pL05Sds8
JA7I6kLf4ZcQf209UP7UgFkEcCNUkccfr8enGEz0mOU3x7SEInmzhi5KxEXdtVvC+PGC2xd+56Zw
CIyfBCIQ51EEGM0TPnNa1jnzqyzOdR34Qka6qjT/oDwC5mch+MelYDqDCZ4R6PT16d6qmFXLkKjk
/FiKjBLsCPyItRU+fryrh6MY320MXCGWsjggQ/D7KmNOx4WEYC6js7Q78ysjabdnct5OIwxEsMH9
3q01ZuiR6xJwqzas4hXdYtjLpKfVFbI1juAkkSsaMD/XTIB7IC+rWCaJO19QG0h3E89ZQeclihlG
Tu+7tq3QBvmcibrdV+Wwsj4ijqiu2hkvQbVd85k6rl7a4zyvUGhG+Iu4rmg7Py+SdLQ4MjOMKqPg
RHIc1ThHo6GzalcGeQNTPBQoOsBraVgcywpU6AbJQn2BsWOrUUwE0D2lFQN0ozXcyoBpZAEKWscM
+oSaDXgAJZYa9A3vyq2YC461TYPhKKKdNIauWVh0fUXXsO68rbOdanSZD+FXyqNF2kzDh0LmSwWF
ydoE/a6t2ZK4bkcwS+gtCsX2jXFYsirQVYyXBNOKLInKuerQT4HPL/PyLUfZa/mNWnormotckWAj
A7rRg2ddjn2YnZaOt7u0GCrQrmBgNKYMYZ72xsVRMLhkIlXY4tdckr20rW30tE9aJWT7Ri52XN0b
zBu2iRZqQMLUjes7DBHeZA3Y5mSHQ0g4TnBIfUtpHlUURefvC1rPzlxKNU/sA5Xz0psb0GZx86q2
Ni/YPq+7gKATJuiX+ghHuTBL39dugW1308xWv4QkADMxRijNqDTRIpZ4ui5s13driHH0lKGbtsZj
LpqlpDsTpOynj4pUxZLuYoGCuw4rXVf+txrMSzCE5jhye8CiFvPwRF2bCridH+q0VGxAFf2lzgLx
vdWJS91vSefoGuWXarDWZYGWzVuciGnC0RNVUSBZ4jTEYEXBwqkIRvsGIO7MbVPboDxUmUxkmCbJ
dCuXTOa7JZvis0yM/DwjfL2o/Dyeg8lwr7VXLJqtTG901pcEnPHo38Rw6nORSNeFiL70Y+6b8reE
ZG43WxqjFy15f4ZmF5QSq+WVacgHVyAc66lR12rKmp0WaQrrksAfcj2Lfe6y4cWalz3Zoyrv92Yh
vITHqupT2gy3jIrmyosguarGrt/LDhQ0zr4k56Mb7C61k3mlm7TFXL/JPmddG+/KtEnCRdT1Tsa2
vTQrqw5LXGMKXDdS4KvNUkcir/VhwldeGPRjH/3shjOce4g/t7Yoz4qZlmu42Fwe0py420aAmw9L
UDRdGHCXvJ3m1dyVQS3Ryg/Vm8mwbE9YTy4FsWkWuiDg1wI03cH3XX3f5Tp+BfIww3mlntvPFKMe
9DO0oa9HlqfZoVnqYE+7qn/djQKEA6Bg1y3zcMk7vxShrCYTxdrGqfktG5ldLnACYfjUMZHTvRua
Hm1OVqVLOOJnD/eml7raBXHgLyuL4wg7Qfv81TzyAn1S5a5k19M2ik3q7kjeNdczftN61Sm6eWgs
txlqMk6XM8rZ50QX4wXY7+AyK3jKdgbo95lOE6/DdTU0RdvcBO+npp3u2yCYI5bR9a7rcsdwoqDB
8cF17eC5admUIU5M+WHXrFMxX6ohaZOQ0Ca7WagGEKOlisaJl/xSGFI2l35u/YE1A7uSZTWHYHrf
yWn5RIY4vhEU4TN2Q78DtUiyMJmrUe/k4vhe6L6+aVLh3y/NjJqMYLyddOFQ4AxEEekskU0YDFzc
YTLtQs7K+syBKAgZqfpXM62LV1269EVU9H3ytk2X9jc/NxUL23mYo5j6Jg9zyIeJqwHnhsCb0zUS
s5leWtalZVSvY36XV80aYshTvcNPX9qwaUb6ymKIcNEwb6LBk/hSZLW464yar3Pw/SPGDmLAonEf
xkPQoiMdkmtlApeFJS3snQ/QDOwM6rM8lHnXvlSTKg4AeqUim636vKcufYlzOjjbMaX+LXN1czYO
Mz3Lm1HdeR6/ndAnv13bajVnbSOWMG+r5H6BQs7SXg/DHmXgctt7K+PQixYT2yLpQ5KO44WyRXPW
og6lYaI7+9bWvf3I54a/yX3sPo7ruN4PcPDdqB17LnCw4IwgU+zaue1vUV8GoZzq8TrwXfFhJa4+
4yWNcTILdPJNuhCBXDYDkUieGfBBslDnGoOZqOnq/KyQg3+Ls10c8o/skpKaH3LFu/fg5dqXtk79
OV1Ke1tVfr1KurzdzxqQiza4ym5qQfpLP4jpZd3F/o03RnzixQhwYO0y3oilQvCA03pBeT9czV5P
F9k0cwfextRnsarEDu0xTliC9rAXa+Dj6zhO/auVmfStAXXyvl1N/wYJPzlHsOnnKw16nGFS2aG0
sbzGhJvyqK9suTPrUnP4u68PaxK4lwUo+JfJ7Jo2wskQcvBT3r5v+kEkaK7X9dpbMVzhoFIBdqBy
bxK+2gqYXc17rgtzTjHzi8ZmFS/MmHAw8z74HMQMZ9CuFynWzEZLNaPW3ekBlLa5LiQfdb8n+O1I
2YelbeLrKWiSl2BZyptALPW7svd3eCcB0ZvRd12FCiYfdH4z2xzHL2VDs0vrGvZhCOJhisp0Is9x
1Gd4m7FxbM9SVnIR2ZTqKxE7bw6WVLW9rFLT7DDHFWs4Yt69M3atdJivvR3Disf1jQsw779aglZD
14pMvb9u7YhBD509nS5q0VYv+CyCV7q2WROp2adun9rGv86TbKz2GPku6VWVFS7bBb6WOIQYxzQ4
02PXra8XU/shPdtKD7Kz7exKV0BrbkqKywI9uS8jqlG5RLIa4vE52JK8i/hAkzeTXt0SOVKqaxzX
i+luoigRr3o04v07maH7+7/snNty3DiarZ8IHTyAp4gdc8FDpjJ1lmxZ8g3CklwEAYIEAYIE+fSz
suzd3dWzeybmfkd0VHSVLTsPJPj/a31rGZwjRs9JisGpHYAVXS1zmp2TyAeD+LLHG4uWcvNTULhz
hMMuOOUUjsBx6rfB1HyxiXsuSCsFCJy2L0xpCGt7WRFa+OcuBjVTRpz2j+MWkv24YtEUVZBNUXCz
FsIPVWSg499mPY7TGoDcXo9Qts4imrsKyQN5nsnmrbjvN5IWe4yPfwi8qqHTKHmhtHSUqPt5piKf
6y0VaR9BYLcj7occ9mblwi1SDQ1dz28khztbqgEyb7XPfhrKWG0wfjIn5NXQ0WRsWhiFt7KDTFoL
3/mruEU+r07zgGeQxIQJT7I1GnakS7KtjFa43+kczXckKXxWKcGoLTMqY0hx0OxeQk3M51JgNImN
3qLjOLIwbtqFRy6qMMJxMlbw5oGirWXG06eN0DHDYObyresrnKQzfsMYkM53HziEpjxtuO51mbRT
6ItGqizMeKMjPybJbUiW1H2FmavYlZhy+qNdlu/7ztuvLdff20InosSaoJ5XsB0Ny5k5Bnh4BDgk
UgP7K9uv+y3q70zcucPCTVHpSe+6zIBp6lKpRD2boU9rY9KtdHlHcb4us/qYW7YfsrGHjdd6dguH
MQ+q0Nt1qnc8bOhDYXn8nAEgMnW3QOvB9YALpgQPt36Go5aPehps3tgsa2/sOIzPbrJz2zjfLuwE
1bjNSqJ8cVKjmOpomPqDnFjyPMggbIqZj9eSJeQ2kp5eRxqm5dhamNcF1qI6ihjaG1zmjruPor4M
MjyE66BYJtvoMB3vwA+u80mblZWFXQNfTbIVFU3tossiVAwMKYBId7Ip3lyzQeR+3hlS0wy+93QU
8Ndqg5tyLfdNmjs85fHw71LZ153AfIGXwJ7w1OkOLivSyg2av4iuDb9DefMHQDvFcQwKdch0Jh6I
CEy1qJS/BoP62guQYC0Wt0MWMfE2rtE8lkk8jm9xwMzZRTHzJTNe5FUHcfTMdIQ33QZQuDu/VFh2
43uBteS8rGH3IXmcfZesDV9lGK83C5zbOtHTeIohGb9AfI/k5UzzuoxFMN2mjMWYW3E4Xi5C+kHl
ZRneBnV5avvIvo9LTrqmTzsYoRCTx/Q0JEM3VtZ0fobXtI8QC7NVhFXc4xwpU9KJ5LbXNnrnnM+y
jHq8hlL0Gc8riT+3gvyFa4JvOjmp1EVZPXOAnAazlmzPSo/zN42tjVdSx3HwHQ/e1ZQFydfliswy
rWctyFU3JdHXCzdwCPdFurLbiL5PEi/e3ZJrPB6weR5Gx0BDjSyJb2DdmWu9ASopTYuR5sZbp99l
NPuuspAZl7Jbev8xzxvuFdyU2NOchor5ucC1Wko4cksziCU+Q6RugUx1fscwD2z0JwVCyg4q4/M1
3bC/lQTjyFz3bCJJQyYF5jfYl+Rltn3/lunFV9LGtu4DMgV3bs3CZ7hreQEqCDNcmc4r748rhqoz
Tr9hbfzEucAoV2D0BMVBxruYryGpHLuQeJsKEt0YvSBhACIFF1FFueKCyuXQLimsFCUrITGkmeay
xi4V26YuwkwdD2x/Hawb5H00hqutsVUwiSOtSMddVyZ0bb8dSRCJgd6nLmZ5KcOpi3/0wEbJUC0k
94IdYJhJH9xKPqZjUWHb9lSXbufKuirDAzfZag7/Ku9LB5qbbvWwbEzJ6y1nURxU1mEB0w/9AnUo
Lj0w78IdjNNT99q2ko5tveJWgY2CNE48mHLx05jOhxaz2nBy3BH1h52sX5KGg39SQ5NM8NqeWRDB
ezlqgFLzUJuNkkA8CKclvgdKgEs5AZIZHsACzB1v/6ciRRbgc7Ri2OpCc5+8JnCZ+PMvsZboi+Ew
98VFGo1C5vU10osX6x68wMUHwX24Z58tZYFPj+Cqd9xvU2iL7s3plRNeDjmELoLNlok1xSMCx/H8
4jgEhfxmxkDp7wJRBButXGvdJI873C18W3jkiVG8x7kbFlUn/ey24Tp2eHt7iXKdKLIVoJdYsed4
TnSXNilA1S4+B85N2wgOqZsx42B3aKeD1rnAeUzmsZagkG4jwFwY3XWBE3MrOgxROT12c6a2TUOF
XaCkdhWQKtevtGkHT7u+0SuImwLawTDmNztGv7xhpE8ZXLCFFdqVIZ0K2mTbHtMjfD/1onPXfyWg
a+YyGhE+K6nDvdOANlGfwSAxZYF+50Y2Y2oLXi8GnIov92iC+binbvuTsj8XXbs8JKBjr6ADdzdj
wOJKRqm7FeG2qUbHCrDWUsAI1qR/FoVfs9OEES4r40FvtPTDKoejmQNQjD7X64BwziI/9R4wiaOV
KlameI66eo737cl2ZPUYEEjfYALFhsiETpKjSemsaqZy/0525jddhu06hU+57GRSo0xq+DBoiTGl
FQtWg2EnC7YRI0LeYJww9srxRC6fLfEXxQUTdTRUu+TtATmthZGDcmEOOCeaiqFiAR3Hhm6BvQrt
mL31S09DW2UsascKgmKXYEPNNnun8jRwdRQkbn4F+gBsAgwrKLsKTMe0YEAKI3BFELfuWmzeqqQT
5vBbD8PNl2sssyaTaX8mrR2BsrsE4QqwdVoB3Yg2Z+t8SApYUmTmR+QW8MVkviVlDLbuatL9JCoH
wex9B7CAa4MVj44EI97nrg9pqP3Dhi+7pgXLi0aArfhJAC9BPBS6vSE4hu13LJcrf8yEMpepK466
K0ww6dnQLOnecUTG2zFeqHga15jdApNsP1sT4pPP190DV2MOysi+d77UXbB+zX3iHlbTc7wFxNjg
DmdqxGmaKYQVZFI8hZAPs7oQ43oKIVp09Qo25tsaU+QIE2np1UCFAJ5okueJteNhjobgNTU2LIsM
HCI3/Q5C3+5bicjRdodMZdTVkbMLQl39AEC+6JZiObWpAZ1mhx04aMtWj5db9Bc0AttwpYdsiw5w
iOCzBjGChXW7xAuOXoK8Q1fOOgNeGLd2wlAwbPY2dtrdtFG45HWQtDo7AITQX1afzaCO5wHvEjRA
9p0anrelwgB+P5HLxGuRwh5KzNRbV6aSFcBR5NTxGg90AfIKcsnDrqAAlHuqddrIBYBdHQeqa/bJ
42faBDgdsBGl6yXWf6yWD03ErK/WOdneMpwWy7WfB6PrflryJ5uY2eGvS5IJC0EHFUhF423cs+g6
573MgAmxTZUmZMU1ITx63/pOnj3R9gGsnqjAgEU/kIpxA3yGrNiqLrHCVNlKu6126yZs2Zt8Zo3j
Xd7j/DVxfy3CaEsOc7omL4Rx7e+gXMkYYsCotrLXKnzrChAPpQKIcTeCMAmabE02LAVFhFTDxIJE
NSoU/ItMvFkrPDcx1WE+r3lspvzyuaX3a7xCho6jkd3lvYpfJ1AWbbm4/i22anw18ziWHI0hTxmI
SoBS7YJLvjdvLVmDFrOVJxXB5HFrHOI9FrrL96F15GQEburadDK7n908nudkQtbDZPIGukB2RViQ
v0Ax7jJcBm36rqM9bjwN7NNitugk7ThHlVjy9TKtBQrozACJJ7M2v7IxH9J6LwgGJ9UV/jgk0dI/
IS3b1QbiVm1wqdNqihPXYHwJr4dt5GAD1/CVs82/FmwOS21dgOhkIhuV9+wPYMVBTRM6f80x7h9D
ysL3EQT6a4AfSUri8cEB+X9F5ia/9TD5j3qZcdfl7gcA5flBu2BjZT6PQYj7YH8oWiIx0YRUHfE8
MAPWDBvXeQY4BT99s06R+SYgdtS5x6IyIVO8l56H4wvJe/oseExVRaHqn7QeQlhhIC1lHH9sDuq/
aaSGHmTe8YCSaqnhgSPF9IqNdlT6yVA70uR+FnzCKW/RvgY2yUzIPwMS8JtQE7wGGI7jPd2A0mzH
NUJWI6rjMfAzPwWOK7GfAHJv81fW+TX5SAY6yisx5mqmFaMmmEmdLwldDQ4vCZoFnhb4CFGEXRrU
AO/CHWNjHmxdZWRqAn9ym4eKWaaRTw6UDmv+PR2GGYfKpGXve5xjCQ+SGnMeOIWabGnbAmihYKyA
I2OMB1W1IQuNmwYYO02AgnI9/gwmsmW2hqEJUK+xet0kh2PZtRK0kG7ZBSLHNTjBBmlFuwfT4xLn
M1aYLvapMS9jvrJF1DBic+x9iAx1XtwJMVo31nZN8zRsAh07O707uS/hVuJP0d1WrSPFSFbumuNk
uGKISYqigmJ9eSc0bYOiP/LWL9n0zZF2j5KyY7nEr4GFz1J/TWaLhflabJb1aeWDIs+Ww/9gz/01
IALzDwHqAlnZS/lUkSb/mjYaAuwcwuviIxBIkfx2vaNUJrCfTKxa0J5rvgyqChQ1UVZmpkcQqezh
o9hqjgeffRV/Gl3//ev6q9uLl4UOsxRx1QL+KyjwSwb/nwmJLtkQTWq77FOO+pJtUr/ADyWLHhci
GWGX/Q9G5V89+cvfiBg3Po1LdhiW76Vi4J//RoiG+RwgL/FT/fobl19UTZwMBta8zTh1gOCWwBNE
PjoBs/LXV/G7P+G3w/2rB+Bj1EjWtPx3V+bf//U/vowK//uzwPEf//H/XIo7/+9P/Aea8MyfHZ3/
7e9CX+WljcL+62+6vJq//1l4Mb9f3aVD4S//8l/qHP5NYcOvys9/84t/aXP4S53FP7c5ILlziSX9
nQX4L30O/2hm+keVw+8f+l3mkGd/wxeHyyREJgiL2eVy+VXmQIoQlXhJCrinAG+CtgfcAL/bHCh6
HgAvBjncfXzrYAv+XugQox0CtBfM6iKNYMyn0f+m0AHnyL96++iFiIsL+IF5DdTH5eL7J+CnSztE
OkLLz34Ks65c9ZjACtjSaz1lxEJqDGl9mU2ftZymvpxh5LAqWPLE161FiOnKQJdhVT726XnfM8qa
fhkv3GMQ+EdsNYoeQ5Ft5FGCFf82AVNLoJXGkHU2HB0wFyO73PSryoELwpeMSqeCnZYMMhgo3zTD
zItn0WkP95mWgxiLZgfnYJoFxCCv4nVkZ2uZXjDtkem9EFv2kWO4rGc85BscmHCUINLNiHrB9E1q
rAM0uimimde2UOntCh6qVIt7sn1EDpkNY1h8/RJAkEnD7lkLsT16Hsx3INzVkxLEDw2KKAivRH5x
F4YkaDGDCP3UJ3o5XraNJoTIe9WuaXGOtOmuQ54ffRcZUvKxGw/JkKTAybnEh7lGMqx9wqYDnbPo
W1/AWe3A9j+HkU+bgtPv7bJBNBk3JGf2OH5wkTCnZUSzBg+jB55iUEiGFKz01qWlx2L1EGcE7Oaw
PgH8hQLd9+B4kYniHymL9JFmY1yZbJDXoVKQxVI/YVZBTwKyuV17a2GA3q18gE86u93dBGszRSNA
Bm3UHwIQ9WGRdDvYpMur1mT2KUqLj4SxsQ5ZyKqUcIAGFv/gyf6toASmcaaGSvcJhC+kvTOMes/C
2Pgp9oW/jmHAP3QWDzUt4fhGMf+RjOla762/7i+6BFwagScuoyWSS+RxGb167o1U1SB7exfFklcz
PpGKFfIRXjmUXy9d1aEY7qv0OyupjfzdBkSz1j6JmjDBKyXI6NbBwtove54RVfZw5F0lhrHAHyuE
wfNSh9cxn4LzFrjPHr//vkVk6DFbhp7Xm2fFU4YT+DGPoDoBpRWs1O2+31ESz0jGL+QogYMfd+KG
J/iEESRbN99EktLrDXq4NjE9hLjsb0cf72+LwRrVkHnmZyp4WGsq+6mMsVHVk5Tr0QnWHsjkrlNA
4IifprfLAsYHG8EAiXfMRZULT67iAQAi6He91B4TaekY0n3pPr8QWPMcpkXebcGBwUdZCl/aaXjd
ViceMELfk7l/CTeD+FNPn8Ip6Jsh1x9WZ9lJifEFwO1Q9tgDFR6wB9lF81apDv4p8ofVcPmmtk/4
FGhZCWdd7i74Rl2BCX0r2JVeF3K75kXRMKfbGlHaNxyG9j7Syh+IxQbWyzY5bdABXmhK1soLDEOK
mQBueITbipwzxpMSNSlvS8amxmXKHFGdEZ2EPSPUfzMrTLDTDE99gDHHbIfppYCFQlWtvADWsuru
IEGCYG8Q9ilncf+o86Q9LQBJy22X8QlIoH9Uvt+PwyyjWmttjrv06S01yxmo7XqCOsUkvBq7Pq4U
mlC4kSuCrPHdSkM+4AZDMGkNngdBaF/UU2gi8QCKI1Y3IETvlMnfxwnhwzTdiy8ihnRDo0GWPO/Y
A1JP3T3Y1h/IY9ET1osJw1/4I9VLAk8fY+p3a/CWA8V1DSIium77QR0C2Cy1DtoeCjXtmx5G+MOG
Y7fkHucdikTBbGbD9n13EI0WhvN5cbgGu81v34vNd1hCu2B6nox/HoIUaWHYFPej4rQol6J3+qFN
WHiKoYvZo0bKU5d9sgRQH8R4gkLHxhL9QX09gvx4mkX2h0ZQrmojHx5WnveuTHJkoUqSznmpYRkA
vqGdgoNQIagNQAgqGIEozPdDHs1gKPjkcYsPGsld98KR6g/p1bYMf+qr3OHZQqYPSQRyepwKh9QF
X6P0XhogQ6VAiPBKulzsN56a9NFjy3uODcMtIldceiczL8mrRerkzHe12XLe4+R9xtXfVSFiKbwK
CctouQJeepp6AkCChYE5j1GQn6cNms9ciAFG7DSfIM+294hE9M8otoA0AAwzO3LJcOEW+8rfdE5t
s0DCuQoxYqGkCOUrpcoN9Ip2mymSaCbs4EjpLC331bHTonPcH/GyQD31O3nUONr/gOIGBwP54vV2
ht/4sIF+C+os3bwp93CAzSwSpAJK6nf3DSrb9GMyQfeGZ3I7lKtytzbe1T0Dq/4HumYcJJGexU/I
GS/fiOz3OxVkpyxM+59KxelngthmV3Ycoh1kvqVv2oJ2pwRbi8JpW9kc63u9Ya1XIC/wKZZC8PzF
LVty06e2/4RPIthZOeicJZJN6yObaPqC50jRwNlrD27bItg2WaZZFUpkTk4wJfyH7LqC4jBq2Ush
h+XBg7jAVblx8tCJ1OoyipV5ExuTd3GvW+zyiORmVVSo/VRAff2k8ySfoBI+97Zf0QKxD+wkQwkv
UnLcrLAopvt9iidW2dUi3h/ZjqlmQ5/FrYaT8gbqY/0JVmX6nlO6HAYiYJaStmiL0k8bOZtQLA9D
gvOmBCtDPmiw2fvNDHAWYpJDKMw2ba4yhAa+F60fAG7tzJ10OMdrLToxbZCjlPg2wZmjZT7G85Og
FymM+Hi6S2fdn3DPdeLookBvoL78dMl2FfDhTfDGipnRZuhAX9dI3yVH19PuCeptcITcloFxcAMc
h5yKI45nkSNxsKgqllF2s63zdA5BrGNDpkG9LVAIewQ1younW0HWpM0UQP9J4ek2CR8KWoZWP4bO
zrVNkuKmJ4tTZcbGufaZ0CebUaz+6O03b9KIOSu71tmwQovG+CrRjjM0My024CgoEviZYoC6ZcGq
6zhK32nLi68ZH9QPmIDjIeYXNQVHPFPYfuVIqrWQOBGBzQWnDl0Xt8VOs+9LYvorzfXWVlGb7MjK
x1v8nq2GX88wbF9gMkKDy1XsaTmZxZbDGCFQgZyHhdDogDGImG+QfNm0gFbj4Q/ofRE0vQS+K2Xz
Y1LMkG8F+jLe3I4BsmmD1eFaCizouSELP4spmuDJqrQl53wU7LUr5uHrhiC5PcQD99fOuu24CGhk
9W7gawOHlSfRyodgd93rNGR37bbUI1dLBWuuWXMHsRfc4iOdCzhKGWjCFvnFrkYFUXSf9pgNc8Dt
xynFYFEmZqHvRbajfoqOun0ZKGTki7FHSRmSONyq0HbBsejb9s7O0d6s0c5OEbSqI5Dwud513B9c
ELibkPAmdUb95CLCjogUX/YzFZ1BTsEO/JIvNl/bJGPvKR3ZYRkDZHvxbe62gjjjbnnk5anFmGVR
OJPAdu5MKygi7lR8ati2Q2ku/9CE9zha4vV2ZBP/1jPff+ngGByDLkHDS8jcjdEAPnCBp/m1NAjp
tAFmRLW2gOgUQVucmdxV3hXQU4eola9A/ENTcrYuHLJdAkVR6yhtJrbv15KE+rymNLzBO+wB3nbd
B9u7GQDiPF8pPcFWK+LhNPWIfUdy/6Y3v7oqjELzo42n7AGmHPkZIrv5qyXp/2/J/6+SyN8L9K/u
wujSRvDvt+R72f/gowLl/o8tOaJ//tDvLbmgf6NxiI6rKEaBU5wUkDh+b8lhEP8tCNI0S7IoAJOZ
45d+b8lxdvmVP9tvkNb4x4YcowQzubSJ4S+5/Fz+v9mQ0bv91w05vFRtF6DEQ7yCMA7/VfAxi8wH
n4bTmcJnqmPaH2a+zAf4WfkjDlA+QtdtCWR8y/ekkQY+5Fc+J+Kzz9IIOKsH0LMPlVJFx47ISsfm
C1KJ/XXeFp14mNPBfF9Ml70lGOnPPGz763kVSFcQaWpgiJ06R57JQyoLbLWLGG6Ensj4NkA+vF02
p/ej2sJju+5L1e5oDjioZTXF24KkRX4FVgYS7jxt6euyepc/bFAianTj8BsRjTNt4hSCZVW0Ou9+
LDPhrw4ymrrCCCnbAwRmmd7MuJdRSEIQjYFRGciO+1KtwHLWu56jMzI75FO/67vRWrxd7q3JLtMn
nndXMwwj4xuFFAlR5yFB4gRbS4SUWgKSPVOQ63F2ubVkPT5PmLSbcisYUpS3rbVbliysQo557GNd
e7vujcRpADVdDjbZgd2i8UNWyhnU4JSpGzD7Djkw9srD8QIzzPN9omGdoPtjr2SKIga45vC0OGTC
HGbXLj53BgE5kaDpELqsl3bskJrEYtceQbAwc5epmZwCBAQfAvhiJQT7uFwXijEIXsuJE7IcwX5G
z5KkrsOkEABJC4f1Ec0YySEt9PYj00I2K4bGarsg291oETPNlbwxpIuP2BzUaRxnd8QUNEFMHsYU
WbLenXKo9Znj8qDUMNZxytv7JMJza+G9h17cyhoccFwKRMav7F6wRyT51Tc2EGxhkvU5gp6Lvu9F
+hVlFe1j3E72YeVL9thjgn/jsEjxDArZ2cBKf8T1MB6wQXQvvfXsoY/G7RsALQiKq3MgEkC9YP/p
sruikOwFLk585XlK7olnfkb0j0AZQK3ODUtZf0TpW7fXYWbk9qKnPMEw0adfJ4DAz2CPZQgaGNoy
otBT7FGxZzJfjdu+nwYTpWlZzFY1mG/mE1hoc4Rn0L7Eeoyviz3j8HN1sn5Bp6Tdylxj+UYThun/
CFeaoi0g2xNfovN0aGSEbWhDoO8BfWDZyazJFzFltRWOxiWNfXYDixJjpUAZ3QB72S33rm0jFAoh
gklpAZtMbPiuHVLcj6Dmhxdj/XBcWKbf14h/CzF5IOmb52d805grNTz8zer8doeE/sgggpwH5By/
tGG8vzoM5OpQgPf/EKMJrgmCJRjfpjg7Y+UpDiin+bkUE7sKk2BquJc7vsFMPBcyd69BKvpvm9y7
b/E6d4ikTrn8NpGhqFeJOywlM9ZDJMyaIlvnQ6fTazSApZXKu/4oTLzdD8WQnFdvL+7iBl+3xM+S
+1AAFtqTHU0wSRp0DwO09ovV5xGXb+HPLWGLZpYkh+bfzcTWFAtvM65OVytb+eVzmZGn7TlM8qBC
tdp6BjuF1PaWRC8UrXT3MzFfu908C02yT5+MkLYwMgSAzlcUuFeR3sWXzAh6reA63QQAvrHvW1YD
pj4V1Ga322om3BrOPu993teJCcaP1AFP0Os+PsToinxHSQ1onpD0vizUqq9hblDwdTRB5qyPsNSp
aav3vWhvaRS6tzkhSEb3iBFLFcDXD8MdYyDwLXQm/oAj1/3EKuEqu0w3kWNrk6SrB1Pp4teIs+4q
JlmUo1Fv3W4ir/OaynTFPjlHBHcc5cFdOHlyMCOmrhLa7vgIxQHDoZ7DoukBTd8tthsYZM4uWC7T
j/BXEZ89jHME/UCLrfHzMrP8Xa6KAMbpQJUhBL1CPGGYZylh+c24DMkPl5jxukiZSVEjdclGuCD2
D204QIRBiYMFCUmD2wy1fV9Aedq7rC0cjB+HzSSMEWkvbcdPo0KWr9RbmN+QMAJ611mJSzQBAhn4
jwnPvKdwTbdTS5it8Ie2VSsY0v9SF8d5ov6GzFFXFbnOPxDJT/4YCf3s9BShZhdxiuoSSgcQLJrJ
CIKbnMjb1fP8toilvOHBmAJ43z94ADAHitOIZdZ/HQPz7BGDqfLQYF5mID4wsfJDF4YJZsm9eIS0
MjYkjTgaPLDWXbWE3/VyaQ8gVlhtBhN+A3VGj6JNggPu9w+xD/kT2ivXik89eGdEI8qQGwyQQgLz
NSzpb5MxbKvEDsvtOATtFbiSixuv0vlIERt/xJWr6iEooFRuo/mcPAI9ZaTDHmMPzV/alNEzXuFW
RysqJsdEY4LvZaKQBSPJoY+28RQO8IEDG/h6s0EHYh0MJczD8Tg776Cu+/ktMobXfT6Cesnk99mG
7wK+YrXj8XizrKp10FVX/kDzSSFtNcraK47YU+ztHyEMzAaalHsWQZo0CzzNZmxzeaD5mINjIuy5
W0J7lwbZfEQFwIRX0Zn7pRVx2AgUbrQljVQOX5uT0+quTUd5lQzruwlo/33C8HxokQv+RIdJ2GxA
TCCZ5t+h8/w0srOnGH44EGIp6ynB/2NJVpRIr6ZXSzcHp0D0tF66EDQFAPCbHbzXR4H8Ms5OTo5z
MhCItKx/BDARnyMrEFmZxYReolY3buqLq5iO9pB5TF4EYtpRRny57tSIhqve66meQ0LqAKtZ5RGi
wvZsh485WdG3QbGEuBaL6sbTq3WJUUKT3O501QBIQPIHuogOY5h8TIF+dPDY0Es6gDUV+xFHNMHS
SV7DDoEGzsHddygJRWtYAAYjGO8ybR4zZLEKOx13KC4logFrHfDhKQf+eBYjdA9AFzkqhAKomN0Q
lcgmne3et2hV6m/RHEGeCuvXY586pJ420dZ7rB6JHB7gzvHDrBA/2cf/ZO881uQ2sm77RNAHEwEz
TSBtmSxvOMFHV/Dex9PfBUrqpops8vY/7olaUouVlTARJ87Ze200fHa+3HrjYAQImPJ919dV0Ku6
DJgrc+qPB2NfjpZiEXYsGrkzcmtPcx56gUpHpWHl46742oS2tpVMzTc04YqNmdSSjSyL2Q+s4XYy
De9zgppo62g8flWnHex5LG9tbYQV1gMgHrGL+TrSseNctN6Bbpi2iRLlnop+ucUw9gHc1eO3A8L/
zlK/OUsZNufQX52lLj6W3cfu+5PUX3/k3ycpuWbRSd3Fvw0dDYP/v05S5h+Yd03s7SuEWkgObX/P
G5kK4lZdgfHrfJHNCXKhadl4BYXx35yejHeMWJAF5LHoUCsN6HQu9ds7c3QT9i5M3dm+KEwsozAc
HWMKbIPuG3aATqsp+p0/jwCompHvVOViIHEDt8tEQiGNNO7zP08P3Z9nCU3NLXWPGw4GGm5rlAhi
vx0/QEisZ5GipSc+Xfd/nlMY1k8IbjvN5gSDvrewL0fRdJ/ZbW97kTg0JdGhosi1nV1OFAnDrSYK
EPIs95qrFCtWH+MQaTyjpGVhQk1UezoJnX5ZYuWTftrpNG8cXN7dIW/coblJtTADlBJ6r12urNin
P8Tr07ZjWl9w1otXcJ33osF6rviIxVbb2ctNtDiOgzTbQta9tarEPWdNab82jjMFmldNHxIkdjdK
9g6S6UX69HDafoN3ifK7smLN3fSVVu8zkFXHFHvFB7uTzYvZIYnaoKjzPlee+zmfl2sXtSMzgaxY
jvwlvBoH2zonoK0Pnsf63qeW58+rxAzPn9fcDmmJ7FxfFj3op4iKgeY1lqFqqGDfwkRdNuCFxkOp
qeIGtEr3NMcFvah2mfZMg1m7OnM5aV7atJslMWeNRpKWHOI8Tb7wPMjbFOaftR0rUzvHRcmgVNrt
oatm43IK+/IhVg5MUneobipag/6Itb7yBSDXKyFH81mr8k4gC0VdX4loQBacVzTjmFyx5WCgQAU3
Bskghq1hlsMWfwDOVS2cd9ZkKZD8ZAwwhm7UBw2j4I6KWdsDRVRHIGfqs16YzjHujPqePS+8xj9H
5qgWDcVecN48z4OyR8PYzaPoUaVs/v5fZkhijK80adY1s0idNh81zuiJsj2ldRdN5akIuymvAqcP
m9TbMRlm3zBWlRgWpfWUi16LI+//VtT/nMD6XaNJ2uYvu1M338WGfr+uoila/+Bf66oj/gAm5RoO
S4gHuHYVa/y1rro6oRwU055pM+6W1hrI8Pe6av7Bv7JdncX0z8bWv9dZ7w/HkOty5wIARE8k/pt1
1vy2jn6HMiCoj5BYy8FpJRxw7Wub7HsdB6LHThW1vhwk033UmKuMFjX6ZF2bMDi9LSsXpsGiSNpi
N/V24zERadsjNaKh71SDUdCPMTx4Pm6fXOJ/lra26TJeqtb7jE4wPE+2DRV9MdAYJpxmNqpwsW7S
vu22qYEiQdk5rHzN6gxt66ilRk3Oc2wCPIjVfj1jcIRe2tOSNvG1AYeGekOpx9DULFYVrCfb1tPr
dEsnsblH/jaXB73xGhfYl+58JNXCLv0MO2q6qWwLhxYFXAYQZQ6DIS4PiaOSr5phRJ8nGHRXqAGd
F5y7KWuC5onLuMhD+s9Opw8b5DBItAYZmVuwOvIG+nd+wWKXnpMq7q/GqdP2RpgqBN4Ua5uqH+ct
Kjt8sU6UjpwUssifqYqZMtsIXunrcfqsQ97eXFqPbstlNjRoHJvBjPVTaUfDFs2cOJjmiuoDO7AR
iTAAa3nFDWBKG22sKm51lVf4H9z2HIeuMBG/Z+WJjmSN0ESFfjbFzo7tRwci4BZXTCkiuIWOzVGc
hBOV+ghRng3H6S+HSrx0MCruja5jQXXbEJ8oqPoI1xiEsT1uAetpzjNzlw6Wuy/qiOH4qMLwCoVk
EiyWTksN19+VlGN359hIDJhch/JkoZVFY2qXW1EYd854gwG1RGQomr2I9BsxDKvlqDKtaw6dw+va
X3lsmdKcx27FTBT2FngqAOIiY8OM+2KPRC8/ocINL706LW8lPYCrTJjPCc2cIKv0DAvhsBAlE4X3
yyCbra3J4jDpKP7QGvhZlqZ34dDo50HrnCCcxYSqu9pnBKBsKQE48w16FYSqYjPzxgofHu7Z3WAX
2Zs3TZ9ROWu7CgYC0uA+N+54yLGpznNz7JRRbFTuWVvDlVOQAToO7FLeVjxtWDu9C8wNREW4jR1o
cfeiQB/AhXO0XWzaxkYCzT4gxYaKNDAtNAY8rvkYay8QVqIjw8fmTuZ1fbWAkT45btcEGNeWbWtg
FMuRiF9bI9oToA8CtrCNT7EGH7AZSpTBCChoeOJ0kVsEZ/Mdwz65GaMEF87eFsUSGY9umM/JrvOM
yWKSZChh47id4ih27yYb9FrtL+AkwB+YmZzuJUkxUmxkk8XGE0CEKN3qMk0uULw6t70bh/HzLFTR
A1JLc2tXepWGddxOFj5/hEfnLuazR3cO/lWK39xvAUq0GDwrTb7MTGHS41SZdO1yeq18mxRpFx6P
SmvH+zFJxHSPlHXgwBxFDNSvM0sf01esUK0qAzxjpYOiQa54jxq3aTCi5mFlG5IoeiXtB/UDgpmE
+6NVBY/nVC1IA1BxR/HGSGa+PoYeJwrytHTdLQCZPosOADrE61CVU//ZyTwGUq9cI28YN/mq78aK
ZNFBLMOsZ8BeYsU/pnpF5MUm1oc+fCizAZ6R3jDc9M2+pSlqasa8/d9O/f+zU8OAXxFf/3mO9K/Y
2H/v7n/9mb/Flvof/Ahdgg2zxV+Kyr83aecPrCk20ZwcsNaJDvOiv8dIBmMkg9xhi19ARw3J1vnX
YcgUfzCSIvXE1cFrr7v7f7NJr8rg77dozyaiiwML0ED+Vv8W3PSd1DKaZl25dTWwEwxRj/TJA+YJ
68S7FAN70gZTbnmZMUcoAy/GSvLdtfo9pUpSGKxlC9cHhT4xO+90y3giFYibmRbQYI7Yv1iPjcTM
gwWA0OH/8FGei6iUooRL9+6jWiulMC7k2kBrwfeYBnKWLq63qGSb/8O34lJ61lpI2T8Q1JQBlm8R
ogcSNCd7BHVN0PaANvrZ+V0Kzj/RePLbBQQvrwvd4qEgveCfFdY8glTPJReQOR46qcW8ZSu13+bR
DiK65z7SSmBo4bpA4wzzf31J1/Ltu2fnrw9fZ508xcYPOTD9HGMCrvt+r1XC3qza121piOa/I5nx
KdLkuURdDHcGefs7Hl0XuRbN73DYw4mwISqaJV1+OTfOuE3rAqn9r7/UP4Xt6xWVJvPUtTiGj2a/
F7bLBgNjbDD7ApSJ2i1rvwIBfHOjqtjA4buw8fT9Rkr/42WEjEiZJNcOiKG/70aEcZZOrgWSJ9Wl
pMXs5dwsr/pzBUegHn3lpPktNu97INx6mf55s/gUBty4HpBVw6H755MihhDiS5MNeysZSQTRtEu4
8WemUWCP9EL+5jv97Cp+/2nvbhqSb5g3xDrsXczlCKexhY3s2Iwd0WR6Xk+BmH369Y17F97x551b
A8To6XAsomn1z2+4xCg5ponXzohtcRaVyJ8iGDpHjMnuAc5WFgwNJeLi+k0uui92j5gOr/ZhiNpq
Pw7eCE/AnDbt5NSf59nSjgtxehsz7Jv7FYnFaSBCLdao3yxMxk/uPwYKR6cbtULm3j9xbhcxkse0
s08mfEcboU2Zs5lnOW4BK60wVwBGkMimwOLqbc18Fh90/JS0NnCsO0gH/aiOvDM2jeg374L86a/G
+ry+4UD0zfX//253SD1SjRT24T0OJkx8sQzo8UBAcO1+S0+qe4Q1DasDWTnCy1yVJ4Bz7WUX4j9B
6tqPnBhKxlAdg0XMZhvLqMMgLF0SwcxouYgGs702baUdVTaRezT2wJ6dNbABNs/TMCXaUw8Nwves
BOy80JydhdOTHlDrbodqPvVZS7SQlg8+DgAkcjlBOyJ7HCa3u0YSbtEvV9mutQb8mlp/rpAvHRoO
ZZtFYHmbw5wRHx7qZ61txn1aZtqK8n3LFuuux86EVi7KDuQO9md+cvmnfeU/vo4/viDQWykMeOux
FDnvQ/+wrMtBTutN7+JrLUOLlbj6kRLxYVAhY4YBuNmv34+ffqJkscbggb/0fQSj184j/Ias37dh
iItVbHMOpl4pLlurFMAw7Jdff966oPxzwXEZqzB/8Qj6pPR512TtImRY3Jt+ny7wSExGQMeomqyt
SyMu+PVH/fiYupI+Ll1k2sRY/t89phEa0XQaK3ZB7HMXKHONI1Nh5zcX8KefQruWMsVCD/T+lsFg
1Yoe7vNe4yTSAq/wtANiXffm11/mXbzauo7xbVzDcKkWcQLLd+tYlmjKsGuv28+QF4PK6NKdPRdR
YHdkdoiwI1LC4sHXHSs6te5za0b7SmTJ75Yl+ko/3D9KGPh+Bv0jQ7y7f01TAVcaHeh+c+5sp8bL
d+GU9jvBxN/1LaIImSGCmGn16mteTc4d8agTwhN9vCKszjpByfxtPtNPfyeYnwjy8ZcysPvnehQJ
TcOva3V7nLDlUW/l1tMR6qiyb67DjtZmDATqNZe8yjkmxvOw2gpJckS55CJYccr8KwTz8TpDaKLU
9GFIUZM0SV/fL6Q/bGq0DAcZxdOpXGBF6f3viou1WffjRaUvR1eMzEJs2v/8AlDVvGJxJy4q03Pc
KvVumET0GLOK+Zib0iDsDJ1usd2zY7XFiXDCj27iPACy9o5DjWgetey4ZVjt3VbKqR5cob4qGRLD
5MbebqqjBQlGqrFX9PmuTfCN/+bpXG/7+9eaA8u/vsG7p3PqwTpE1dLtF9o3p1B5JQ7kuaRfQDc+
aVnkOY4iyNaPVrWMflcDD/j1r2D9/CLSwMSoZtL9fPe6uwtrySKHboXrICwacld+oqy6cUSH0cDT
v1T5OD8jnIs/dyuJf4z8lBM/PRNcI2PU7Uy9qwKwDM5KO5sQFptISGI+kFY/uniRRsbXpTQMlkrn
HhntVpLjFNia9wwLAwrbKPVLTRr5QVXVR2fU7+2FDwIENfj15HXyN9f8x9INGIPOdIwKYQ1dfHfJ
pemC1U9ZEBpUN2UI8SvNA01B/6mUtH5TJ/5k2bapgTl5CpQjzvsItA7IZolcBI9FVL55hK6ya4/p
Kuz3fvNJ69nk3ZPEJ2Ez9ISwUVK/e5kBJQwwCyRPUhs9AB2KnslxQjlSLJwmiHwDF6Xbmnsi5O53
8OCf7IW2vgoxLSwLNJPWX+27uqaPEvR+KdNyFPOvTANXqf+akPSWO/0njrx28OtH9lvt+cN3RQqH
M4EDt/1+TQcA081JwiPLMby8GyzqniW0gqWMR58Ata96iNM1QUQXLTXFjXATf+yiNtCpVn79q/z0
YZKMUDGAwrp8vy0nA9YT4GzdfnJR0+ur7UPQUttoSYXiJE7ffv1xP9k0yXUmANyjLQk7691NtgHO
RjTEuclLO+8jEkB9hR7oN2fEn15fdEKCJ4nL+02Q+/0NTTsjqmgVdnvOyITOjDNImBL3uB266Ec6
aGvRCKaFiKR8O4VRAQHByLekGVwoMBa/eV9/PJS7tsGpkEO5cFz5/n2d6AsrMN/8MiOc1zhyol3X
KhiCuAeiAghT3RXlPnZ6k2RxrEO/vuLGz95gqiEuNnW7K94/az1MNNMq9XZPjlj8qXZaTYJOiPpz
lxiy2JA3BkkTKysmU23x6J2OCNNkoKc1criiceLMn4h0uhpji1ax2feMisHodl9+/Xv+5NckdInc
Al596pz3VnrGw8mCT7TZ22had4NQ41Z0jbdd3by/uSQ/+Sho4cLx0BzqPyK1kxQ3SdM6zb5XYfFG
rrhzq8oYF41m6/+Hr0UNSjCDvbbUfljV6rJWPZ6rZi/NpL1F6mLvqsUJLwil+vjrC/iTRYxPoi1C
iQgA4P25EYFClFYDn5RYehQwma7viwiSM7ub2kBAFDg1wOT++kN/eik5XwsiJwyGAe/e5yjSIaLG
stkvpjH6hZynTZIWZtDqeK1+/VGMKX/cIag0dIb83qrWeF9xu5C8hkgZPCKi1QlzXRbgv0ksJkV2
Xljmvt12ZmBTk+dQScZJ23FyHOYtcw+US4wCebmwxynvGHZL/mTWI2bZlkgw0Lw5EwOc4038sZpg
A2akbXS7KM5RmHYEi2H64CtZ/jprcgNvlBM+QksnRFhqsbdPltZRW4ImGP1FzCkeANIpI8gFlt5d
ahAzt7XggZkvHgrlAn8LzZJoA4DPji/mGEbtCnBp48cur4zlmANdgk2bGAXJJXptnAo1z9oeofvY
XcuiHNwrAcIrvMXKlJc7/lmbdsUEZHbeDAKvWlBmo4iuXAdzWDDAACTvSDb5/QhbEzV1qVUH0ifR
eS5Ra0LFi5OnAuUKgKtBVOmRuJao9lE0VNluyZIl2hZAmtvLdOQ4CWTTwwW57zqcUQGAjmWGBbSE
+gVj1lCn71DUOFQLbAckjTCm/uhAoF0QWPczWkGEmPe1TDAlQi5Pl5spdMZ7UJptv4WF6jl3BFG6
oByXMRqOFLHzrnFnL9kJ4DXQmVcXsw9k2WNGyBa1zcO1/Qdm3SPCu5PuIziW3J/zAg95B3XUIPOh
lofCHW7p8+6GUdbPgA/zF1yU+l1PqtgmLBC5akuab63GOw/5Os3rdnPslHdgpzcjoYLbTJXJ3hQo
6DIvK3bRMJ6scZlQCHcf04wUI6gADHnT2dpBmPsimENuR6hLKxTQ2SOL1LdYFu09vqVqQ8WsoPR6
0UUn6vmT0zcTAssl3ZTO+FE1tjyMOC0347wQ554/4S9hqmg3N9Ir2i0Y4OQGH5PC5ZAYF26Rx1cW
zgMoxWhmMBA+zZhH91IzbpOEqVaMGfwYeiLDt5wNFBWd4+fsEkHXOeoWKsyx6UW/SRT0nURlZ+h8
/jyJ9pTNMxR8PQMr3GMfToEr+pmTkSpg4RDgzt4wA74rtHjeGpMb75RqFXO7fghCk4GgonS9A+ta
fyjdVYkUO26w9EwjZ71v32ytKX2tH+vApWG9d6pKHtscIpxD1NeR0DrzSLCZu6VJcTKNeYflzNhl
cnkp9KF5KZPw4EhxnwzLi5zDcjshfSVHK3wpQEK2vIGFexwHp9yNGkx0AkAeMs8FwhBaBACgStzq
KT41os3URqRM7QBM1ncE5Y03TdTCoBpm9kWruwTj6KDhJERg0SCZNwgzXatPDrj1i0OJOvlNdNCq
oMgzCQwy1KRq8YeqgYPA0dzU2wglFca8h6wiuG5j8vA8FyZK6MBpOEewmbJIpNEwvdZc+2uyWhPa
I2G5cTPjqA8E7WpVX8FAU+4Ff1NtZ16IbQgkYuku3WWKpu4VWKTTYROHQDBlgerM9lUzrJ2eRnC8
NJPfee9oZvV5dlRWH6wsN4cAvy8wxKUyHJTVyM7STea4aGzzZZTaifasjpuuapJD23KlNn1W5oFy
i/Ehpqt/Y+ap+RAWZZYcJyIut9JLmmtjMt1dlYwTfKWGZlwMM+GTrYfUk/R3a9QWen5Rs8l+7gm8
tvGDQ6BLJ5lYlzPJ5fdizMI3j+b+gK7XZhpeh6MeqMWdH5kzFW9t3drYLIvO+AA1p4WWVsuzV5r1
iuaagi7uln1PxfLgLiJ9HTt+zoLmfgveqjkhU839ZC7F0QS79kwXjjEI7hi168eBJyFGRvZCdmjz
uYFtsMtmrXnBwJ8coHz3BJXPfbaDTdA9y6oBXOBUE/rAUBZ9MKiOlwMuh/QzXWRBZMMOSSm4jkMj
MxjUs4mkiwjLXca5qcD7V/Hf93AIn5pwitTWlYmBhjWawgRuL9hDv2A0eKyJQVifQW06RSTh3mOu
R+bhtIPJ3LyvtSdMsXxFp868+CIyFb+qnY1PaO2G6YoY0OicuOhSKr1WV1UPBlvEgp9q1cle6ImN
iN+UakMl0pzsOo7P6dTVH2jdmVsaZ/IcYceyyYAo1E4Nc7YjaBfCFqK16Jzn9Uh6pYzlmZeo4aXi
7tKEb05Z4RHAFMf1p3aMWriLrfHQJVzvJM0W4JDlsnfJczxAPlhgt5kgNWRbf4J6XrbQXBVciKxJ
kz1XNjnIueDHasN8Y7SiOdVG6l2qsauxxdftyxhzXZXjNJ8RxmOvUANMPYxJRXiCoLvsBxw6X7yp
k2ehGm3ajJUXnWckhDX1Lhl4X9DqCBfcnzlhlttAZguXS4NtuQ5gTEe+FrsNyIEyTktWqCHswFjo
xkNtLBIhYhU+1nidrm05VB/syM6CHlYhlGJ4jsZmdCkicb+b26h3G+gMehhE2jBetAVfHhLP/Ig1
n3UxWv0aNX+61rXoPHiNjZTAJRB2U0LdOQuryY9ttloMeo8mTpBkU3iKMXslGzI0XQQJU94HqapB
DCjec9pYZfe8LDStQV11X5wIk0kYLvnRaPv1KR9i0Jo1pKp7AhPGJ4Gli6iKil8yl3p25/Zt/dFK
Y/te8xQcnbqc4jP5g6Wx6VAGvuSNmm9cuxue9HrO7pL1dpstjg+ZGuRRiZEPyrRlh/QXSTlFRnwW
MM4f3DRebvRIW950VSV7bRYSEWnrhndmkYpjgyj90rYmfmKlsjtK9vnR05nIqGkU2km1tMS3GgkP
b05Nm88Phxg5DP2WDncdQA4E6FrllKzk+HT9RLPDOxFz5NrUQ9csx2IcAZXHA0+S0qBJBDSQeNJY
s+JznqWVQUwKXh0NjDFg2CXnXuudG8P+tyoX12HXv1Wuxplp1AuYjsXUvGlVajyJqJ4ChFjGV3tM
h8Hn1WtuWS3UW2WmNWm6Jk4mv4WD8JVsXAUgZHR49uuay2Kzk3d7fcpwENuUvA/KzFHb9zqrmWOP
X3HuNLekKK/+ArO+7gHsvILJbW6N3o3OpFyRQe8NbpB0rgVlJPbA8rq838DY++cmSUr9tgUAwBqP
MUQeqwVkAxW1c8WZONzVQ9iyiNmmQ9+0twihDi33g0L4dB0itdqPZPQchF1wa9g2L61WZOAynCi5
sUVX7+pSdI9tPQLzVvFbH1X8q66u6yAca+sTPlPYc3Wu/Fos4LQtgO1ytGywQzWCOClFgHaG97AH
pX5HOPF8QxGCzF+k4ZOZR8LPteoeb+QVMJWEWaSecJYBBD4NXkqQnXuCnEe0clG3fGxmn/WpMK5j
p2DdsBTjdT3RrmYbjHO5yPAeolB19GZcFiy6hdoYJcPGBg/bkUCS07gsAIZ4N6/0aGovy8gpT1Fc
kndjWpSAHuM/WqgfiYFpjmSLz3dZNVpfYKiemkQ3WNJc/mJ1zbYEU4qjU1zMcyqeqbehKQLY+eRN
65yp6klS0cxjE1b4CJuYgnSEFPLsgvm50xEvYx6pD3aVN4E3aZBPkqY6gCb9SP+veIXZDoDWqbhI
pkb2S2pzwvGdZcECA5O5O2aajhcu1PRzVoh61w0Dgy9jgLe5TNONcDN4tmna3Q+NZrPUedHdQOAX
6sLQuRkwxG1oTC9gYEPx0Us8+8lGXXlIEucJLVSxp10KQUCnlAPIshAQkUzxVeLSuKkM8xhayvgU
6+GEX1TT98SVE7OeDFYwjbyMhHn3wIppFUYLuC6KC/GcCglIcq52vE4swFXK6TRC6wkrwPPegHCb
z3MtjGuv8BSqhUI8YP5MfZBGYidZuy5QJgMDko5zu4zcJRSAMwnY1IV4iFt4WkSdfVWMmsApRH1y
3aQ8BklJci5ci5Islhqt2kYU5B3MNVwmBggbT2F+GlAq+qaICDHBAXpCBH3oM1KdNlJol9WSzrdK
N5/7RCt2vIrADVVKoSYlBZkzXBdCho95VlFmgOrIWALTTe32yZ2rtyrAN+BedEuyEnnjbSzzbAPy
X56LWoLBiScPqWqZq+OyVOOVLTW2ncLVMl44/NZ1NJNmADCi2jSpwlVEGCzHUgK1eI2YoY1XkDbT
l8IU9h4VcMmWM1fsWKqmpTEk2nzjQWC5XGhmc6pzRkyVMKuykzcl+p10xKlNnfkQjj0giC67yrnL
F105QdIVVc5wdOpJMOr6S/q+GIy69ECguffiMTPlnPOxrcrBL4BpkcAISj91ytjdjGNvvMyLaI+V
6XwylP01bKvmAxVr/gHrdsWi1WmPZDVrO2scom3vDMXtYlOx5FBRGXpj6vHJBohryqH5QKDxmJwI
H5owauFqcg4Oxkj2GGFXZ41Mi2hTLk51pn2DzM9004hYVSJuFc+oTAm9RbppNm5xiyoQ0WsCvHxP
Cnn/Je9M/VPZpfEXGK7wyk2NH9igAjjJNq3uF2G600tLxcN9Ix98V8SAMDajZlvHvHbZUby5fmW3
pHemcgNfZkRD8ljBgnqgPuZkmgEsOkXZ3H0psqr/0g0dTYRuGYq3TJR0FTrVhx/0LjU+EVTHTl+J
Zb7pYA19MDNs4L4IE/TOtQq7L5qsQYGZavScrcokVJlmZmHo4nmqdk7Uj9VOeBMdjWGOV1+sOVDg
VGVe3cf2kBHWRLTAB2lI/oxXz3lLiLgHcFqUOo9RaYGNR73Ib7lN4f6R+I5Ky+EQM/OhaSLK7iLB
2sG5US9HI/anekqiHcUrP1lp7lwdxUT7MYDPtGh7gKGUAD0TUlShc+FdprEuSDBGazv4eWhzlzTS
aG0fmlIIWmAEKBoNMGY3YSSLN3MAyb4ZGmshfgS07Ic/L6YcsTZsLMaTia86HWWaY6i52nCeqPYA
BCPfWjNrfHpBXHrLEOW9RD9W7vMkpd2DsgCyEaD57FAbdIHOZiPBQZFUJS8W8Lv3EsdlzS1k3oqD
uOH7ZY6kH9LWepZedKgYRjgGCD+uvLEf30ab3igKalnHV7ZmAP9dRnNfDmX5XBgeecQOfmkfXrr+
MMV1txxm2vDhWQx86YM56vyOVOX81jhuuXnAk0qN+R+BrT73hHeX3n+8BPRluIojONOeRcLsviSc
XgibnaiIl27sviZpl+Z7b2gbBhjeCuzBV0SsRI4CmHqX26kOJf2/05SsvlCeQyo6GYs6Pep2SxOF
ZJw8ZXFJYC/zTnHgZhNm/wJbsILNS7DxhW+qWeXneAS336wlZO6UJrRqtIGPBllTW7yr+omZdHvA
bWjdFsBuLtEyJU8EikyPE4aTP9vq//Pf/cZ/x/O9jjj/swb1KWmjpExoH/9bhPrXH/rbKSL/YDPg
5zDY+2YUYYT4twgVMgndY4dzCHgS6OHMwv4WoXp/COozA9YtdNlVovovESqOPH4arGHHdhBE4KH7
b0SojvGu08vAxnPWOF0bESxyxvdOEXe0q6pCKn5wyavL1/Ob6wPFl74ql4ZwKRDWZfhhKV2JhcGN
4kcddp/PAKa6SOJouLYqurleO1o7yEFGuAVg6N7ES0SaHkzCBwx8ND8BuVCS9Q9Q82fYWEPzUbfq
rAVuzQV+BBhRPpm9Pd/UhCXmQEBJ5mGyXl1UcYQclu30I3479pjZ7ORHDnL8R8i5vKferrSv2cw5
L7OqYv5KO9tz0lMCgO86rpxtW+BWZ0+/0Flu3L09huUDx9CINgznRHE9UEUZgRlX2oMmJB4VFZfj
llFztHGaFoJikTQiYJ43XxvtDPs7i90PeZa75kWHQIrLUpkmm/QUgWFhBg0fBWgRJW1Fhs8E88No
dOilXfZJFKq8iAgmhIanBPgCkb20aUf+hRGKQEM7xGJtTU+mmS53RSWN6Ci6IdlXdVHfADfQ0Z6E
sTjqTM5ecS4mwYA54THWO6brrLnAr9TYOE91l1BdODZ1w5Y2IasSpxk6+KEX5YnvKNxpZ0JBVLPT
pG08tFDDPg61oGVm51P9KiLhXn47J5FXt17lzOBaxJVnPLCDsdEs5mQ8RElP1ZPTmVgPFzn8grbq
ybFHJEajpO/A6lt1mRe0XEZqB/QRrGpovUraG+VQXRhtzt787W9znAR4a2obfEHDel74S1zwZ0ha
z5zLumTTN8nzKnzZF+FTSomd+HKwyeDgxIr5IGZKEUSz9J7cKmPHK/vQezIGDfNG644VQTCtMB5M
ahN4csOY7CenGhSqOjo/VtzLj+zPLOaid9tk086duvCwnPI9C6O6MCMjgwkhFF/oG0DBbFqRXvSZ
yuMTbk1+gQnKQ7TFCsTVLcYQCcxUsIdEIXbKQMKLTOGhO7jeXaeyzWticybyyvtQj459PSYU5FXa
fwHRzXkaqgddUvJXE6540+b7PE37xsf4PXbjxtbImoJrS+cFI8j65V3Vp4rkDTB+fjvN/BtFr/P4
7Tw5g6mFR4pF/BXLkeYLjsN0GgdTv3GT0b789omka2UznVsKKULkeDabkXB1eoVw+KY261exkYyc
QEzmqPYt7PePeD+hUwhC5S5sva1fG44h44bdvT1ExAiJ2ygdCL+yGkBIiZW03Ta0B8vyafGtJbQF
gHa/rGFxMRSYZ7FiVZ6+/ZZurobokC9kFvqWIfllZW3zlGnIha+9NgeRmWcdTJ/OnrjPUOIbdY8o
jMEJiWvcUlNfr49L+nF33S/eysToKqqNin/2iCBMNzCASZnTSLLfg5vjgfAKqlNnylmhnLRpD6LQ
jWWHdCd/UwotAjgdbX2mDBMmRSQ1t9hXA+jaC4c5E5KnOpv92cn6Keg9U8Hdsac7faJYpXyvXy2e
NAtzEmpRnlNieze4DurL3h38qpZACKWpEfjRmZ23HYoysvyl7ZwVzMDM0lu8J26mHQerze+Ovg5U
07zt6tdeDB1puak501r0rH06ucVOoan29TGSt0PSd59TuHAWYAZei9zL53vX1qjgzJYH22ynli/D
BbhEqKHx7ShELfACsoSTThQHrGOP3GhCdKNRHWZPOoeJGot+bUqitEGODAGYIbIpLIOZOEYw4I5W
uV7fBVn6U+vQ6bbJvRz5wGI6YwgWWwhKZgTW1uJg3YQGGMz2/7F3Xs1xHNm2/kWlKG8iTtyI2w6N
RqMBNAwBvlSABFneZGa5rF9/vwKlKxI6I828T8yMNJSANmWydu691rcI7XXQsF40ZZhii+aJcVdb
bX2GF033eSiWMikoUvsxQm21M0apv7lB5RxiyVSAFAXrrfSC+SlM+inYUYXlRyH97JsDoeKh9zx9
uSjUt8ya2D1nxiPcEfmU2q7a1KIgrauMwowxvUHAzmSUR4u8Gf7ZVO/MsNLbOjHnb0zjCu4ATLhX
+L6CfDVArnZX1Rw7L5Bz1BWZfQHJinZgXfazLK6rBSntjUz8iSXABbzO4jk4kgd3kpTj3zwPhPOW
UL+hXE1a6ENNss2pHA16M4Y9YbWyUEsU4aCsYwmeX9zNrpNeDiaIlcGfdvPgDBslivZ67NEjFkYf
39aDZDXRAbgKo+3PhKs+O8kIwaSL1Ex/qafp3xa1aT/G5CM8EVUl7xmK3abeIM7aZjc3Jso6x9DY
7usAeC5kmi68Efg4MFGW7dZMUvM5sceJyMXwYU5s/1NPUuZFA8NHXhC5SYgU561s94NcUu+ccQ+k
v1r3rX2riAgGndKm3rY0UxP87Qz2CnSqeafSZcRiE+FU5pKmZ+7IaZWSP9Fuy9GszQ3CmPFz3E4V
6YkumFh6GChzidIuER0bFpjbwRHNOmTG9WAzV37JYHkqHoUOBsDc7VeVabSXg+9wVY9O/plOaHsF
d6s/dbb5eSTX5bolFaZbWePU+gDK4u6o/DnfDGAU7hFngGeecuuOUOHu+wC76bNmVydep84sh7vM
l3FyhTENIGJZgLQW8tkG+XmXplYMSLFAvRFa05G9ubMGSQrGxQcspBzjRsrO37I1JeNEB9U34pun
o5gzAJNECdwRfzW8hJlPH5sN8G3URh7W8hFCTIFsQtDVC1CewxS4NmNh1xs8jcadW5C+G7g92WNV
GTBG9afDInT5jOTIXXtN+whv2TwUpnxi64qGkU3FRuXmi2Unl/mYq6NB0tfzOCYOzcpCy7WFGJKc
qDS9Uomb3Digda/7QO7Dng5FEbAbSU2rZ9Vs2sk9jikw9gGi/ZosG6fcJK1Nai5BWyff5VIxoctV
aJ72dml9inO0f0npkytjN+4a512xwYhYbqyWCbKyWxfiFczmxInieZO4gkxnn0f4jiGMOa1su3Xu
Qrb+t2Eku/sGLiUP+nog3oJc73UxA5IOOtg9ks1y2yePvilIS2GADexoYsdJq3IXdVV1n+XQk1Y5
5cfORnWwIbQkJ3eQ2IRV3/keYz6VprfVJB3mSaZ+MGE2XJEnvojW+cWB4eY1K9CwzyZoDxvyV++c
ziTCrCYkbNPZxEk71SzOqVeVw1rXakQ5v/Qh0rGxDj3kYqbGhIvI2L8MuxyYU5HoR1OxZSeIGfBx
nz7nTCQIU7aQApK+kTwObQQfQy3yfqEcxknVtJ/MBJ5MlIY7v/c5D53MR4I0GW3NdKB6X6IrSD3u
hAofFNxz4PJZz9OxTCPidIKqvGhHwEVtxBcf4H3dx3kT7Gj0xfmWx+G4D3OVbWDvAMmLY9Qt0jqn
sV+rFU5ubN46UVe0UuCooehf8m3dZjfaNuN5fme6Dio4TwTLecNbLvBHQeMft1nhe/M+jbryK5wL
sY9kRFDAUlq1lYIkMQCQnV2rAghe5f42M0RLdPqQIZQI++uxtaAy6xKs1CAYZCHxvyryajjNKmyd
R55vxXVHtA4CP8zY1W3eZTSCCq8590TP+ucSat+89gwIv0OXUxbUo/ulsGwz2UVwmLiBTGrBwreK
GyDW9wkxg0c6TGqr+wKUea7C+E5RBlzb+HZZebWTPAfVgMp5dsg8Ij3lJcFwf54RbeOyTtId5h99
9ODpnkSdwr6IYI5u+sbrD05TdleTJZjX1RkDOK9TD+lYHcQortpwnjYissVNBUnxK0ME84IoGnlA
BRtfyCR8olCjoa0knTrp3uWMVMqVNxQF5nRk6+WBsSvimYx4bMAcrmzzdVPWTU7mlD8jhTTbL1NR
lQCfIrskHbqumM/VC/XWiedjQdxv9VUPk7o1Ij3fGCnzoS1xMV7/Jezah5ZkO+wyEqBGbF+gSMG3
ExOmJ4izPDdW+Qnu7JRe1aUI4iOquNdujNrryaOQy0KuhctizGLOc66LbVjkaXCObITbn7KK/ycR
GaCauW1a+IhIM1aSsbLXjp/mFDOdy0grCW4TuxW3PP0uu4on6PgPMvwP+kkXBRl6RjbtoHPQyX1U
qhYUS4D7CEfz9LJ18rKcMrG3Sir3n1oGtz+0qD/7wz6ocX+80eLTwIQW4uf7IIkNkUMbouSNyrT0
XtmnVtW2qwW1GqeB/G66oUvzeaIeRXfevvyn7x4iZcMnAmMBOs9HmWhrkIxOTlyzl3lrP/jjyKxL
ZMyL6lLuG2il/srvkD2sjbGigv/7N7cW1f1P6ly+e4ga2ESKbAFa+Mt3p2NmxA0N6z1gFV59GJPe
vQ4KYT/UuWIHhTCbLz8w37rqkpZyxZR0/dCJJUG5T9zJevj7D/RBo8vnQaaKwQFAkWshaf1wLpJo
7LWdsJkJpHQvyZqLjgQx2w+zDphyw2u/+Pv38z6o+nhDULehhxgiMBGMfpSMkk2isQ2pBo2LjAiW
ZL+meBq/FkZXpRu76b/C4XDdUzKEvXMppU8w1hqmRlpd515e8rhjNd/6JKnIG1hH1qkyGO8fJCio
pwE1xBayNleSCxCdWr3y1ZuZmE5EF8ft5nvbN8gZFVMh91mPf6Nrc++18Yaxu1cI49Ru7iyL4BAC
YB3388wmsljH4cQuPSGjlQ1ewgYUeqL1APO6fRmB9b+xTtTfw3mo7x2wbRARheLnfZuJK9FM03Sk
XRkYywPTZFcNbv9uBhChdhEkanWB3VPu9ZLhhI+wtfwLmVo+oV9W2Ly8N0AqX1in95Pw3/bmP7U3
sfVyA/zr9uZj95r+0tr88Qu/tzbpSkIQQ9WLWRd2jbPIYH9vbWJa+g3fh43I1nQjbnEUtH9CcEx2
E1a4eO5/N9a/o5tpdbLDWQDNcFj/k57me8vyp0WFHibUaBTgqN+x3YJ/+dVjQLoG/Fod6uuIRM+5
WIdjq/Wu8sfoqaqY3aO3o60zJPQolYf6gURSptmk39xqQVNdwhElrLqZALBwb1WZNZ1TtB63VWsp
5r8NSA3iz5jvmj075Kry2Q6fjYChAhCzaAgj9zGNp6hq931lk1iTjMPSFSxj4yaq3KE6NDKXKlrT
e2zC704b6KzfjywDE0GUQW9lyAhhHOYHtLliuKcwNt17o24Ce0unzibbNScE6Ypj6To3gO2ntcnb
MtZpTX+VVHaCnsZlb3OWFZl7/VhmqA2qFN0iiYS03XzQFcROPsxd4yCTwupG78X4MqZVhoLElZhe
SSS+I7j81E1QV2eP+UzaxP1rBCh9JVUFPQcRLfpUM3fWEZrUMlhHjMjs+pCDBUPBsMJYinBoHM1B
XNnBjLSFVJ1wOqVJMRiXDNJGvSkKI4Gspq1+NjdmUuQLELH1UEvYGVkVYAlNghv2lknyHTUAofKi
mM6AFzN53U7EkXMW2HQzsvzxSP7vivAPK4Lt2g62s3+9ItykWfPzivD7L/xJ3PAsHml4WwLG30wH
//+KELq/gcsCzYr4hf4x9+afK4L1GxMQcBrozFmQ+LU/F4bwNyfCn42iBls5i8Z/BG//6M/AhoAX
xvYwd8KWAICxlHw/mY9oWiVDWnvshiYTPzT0vuKclm18wN6CG0h7CnxNPu9aKNE7GgPxISx5IEew
Wh89YpBeXJjEnwgRU5+IWbW3Px3Jf6MO5NMtPlqKABZT/y8uelRGMrYIL79E/N28MjWcbt8FW0g4
aGyKjHRvIj8WY19TuP9QiDkf/ZFUnlQ+ABsRC+PkJ8zyw7FJ2c0AGxGXcYK4F50SCwdj4usiks2S
HuIFR+q42ucw+cHV5EYZw0iZfZ7men4L0H8Nm3bWziEpE7UFW1JedKXsi60k//suSENiTaY+8C7j
sULfgDxy55qtS2IWbQR2K5G1dpmJ36S2NluGzQOMUYSBC1AwQFhPECuE7z41xMphUEQrzrdfyCkq
IJTCrGbnR1OW+OitbMr+nNaqxvvh1sOKniPs20REUbqO4jRfO5m7bOGlwaYjeOinWZZrlIuUloHf
1ifp0s43UmNcZhrOsNfM1deFMYNWnzu4yXPAYk57n7T7Ftr/ugJC9FznIRwHA8zSkVlxzPBdd5+A
hAVqlZn0s1amlZJczgnwUTUXmlyk0r9A9JQRvGtDjTZ9W5yj3sjvTJVBassTYb4w5fU3BGyacoMW
OdqOmNeyHYJ1WseEIvvnKWa2tYqFAHY+u2n3YPUNIJAuGPtLQgbLZFPbdXdGkhWSa+SMCoKyD9+t
sgrC4el4FQsUym8htLnJ7FzVkzRHtI6ZPa4InyFNSc4up5Ugq7032DY6bteXq9HznoNch4hr/Pq2
qOW0U7hfEMB4jJGwFyDWSUzG/Sb5aTvZAVUj6cy4mO0weROpjWbHzGjCDMOGOzW6ZGNbnWcbiRHU
yj4/zHnI0MTrgleMWu1+JgFwG5Vtt9eZbNAR212Cej23tb8WdObQ0oiawrHLrasYecQBK2D85BBx
grArHaFNEcX6zeVBdGM11oT2vqbvZgd0zZB4CIfhRVYTZ2QlAvH5gK9z5QfSzxeC7336TqLqf2Cp
aMf4470lq2xiVBLUtLhjJxZ4XFHGWwDou+KtRr2fgd+UOQOJZnwrioHG/1AQ/pKyw24H81qJSJKu
kCHv3Uf14No3Ssn4MPczUhcTWs6zTyYXigPPbl5nw+l6Eu16SOyBJYzuax33mFBl1Il07XeNm227
Hp/JtompeAZt1ewPzKCztv2A8ONeYwbW5GcJRnNGvAyPmlriaZd9mrSfkbGg5i2MGp1ohCkMt95Y
mPuZJCweBV19lCkzy41g3PtKqrmDvlWXS3iw2VzqQhVnipBlMUz5/oyv6pt87oOTjTA/WuMU4d3k
8t1Alnn3Mp4tEgQ9he4zHVyFwMtH8i4zaAXbKVkQEc0077OGOaSKveZlHGw4SJE3ICJFQgTHDWDf
0p8zp/6LmcvevGbP4JmnKF5GQi0126tUZUTsrlHOu/elPOKbp/iKexuYacg6ysZqOBHAOJNtgLiD
1G/gnwWW/9iOS9xNeIH1q9f30mwPMNFN/lYkUQSPvtRW4sIbtFDLPhN1V2ZMpwyvfu11V3HpyJlO
mJz9k2AzO2zotDbGbuy7LIcsItsLEdrlzeI7nVZ+k2HaUkj8mdckNludhhuLqrK8kV5JqjQWHHq6
+K2JC24Wu6JJb7w6VtC1c5ZEcopWdkVEHFbpcDi5iG3zFWaUuN/U5G18NoZ6xAqeySJal8lcW5sm
9LVJrKMOSdIRwfgCl745pb6Oqk3oM2uJqeJJ96FmK0bVfFFW9+hMo385RFHuXVhdNN71fkl31yBn
YEBeHgqyosKsGlZ2ExHp5uXxzurN4jp1Bvo6hqHrY1qO8sEu+onAKYTCX72hBvU+OFa6a8ZiS+aI
Ma9Ly5uOLvOeqzgd0mMfzHLZNYbl5STCFrYdLccrxyi7y8i2kVRxAeEy4TnD7NOJ9MaNEMSsLFEF
9tr3lApXPVN5xlEdsSMX9ehoVr/BzyVouBmnbeK5OyJUoPtVKOb/u5X8t2htTFeppv514UjOL1KZ
X4QydFSX3/mzdqQDBXgNuRp9sPcC5A+hjPebDzmJojJgM/deBf6xm1xgSn9sIs3fQIOQ54iYJoCd
8R8l4RK997EzRTwv/0GARx8IBM/SuPmpVoxsdhdxE5Z7J0xexoKQG4Lqm60fmM+14d/LwdjXKGGf
w8oiPJM2ax9Ai8ZExTQu3KJ/ty+dEawy69G8qq3RI6gO/5WkvNkEiyerGyL5XcfwwpoUx1azeLeM
xcUFfME8G+/OrsXj5ZQ40MjjyXaxUU/bPgnO+eIJG+dsU4RddVWP2cirkSbnjEJslWHbG02794D9
iydkdaMVid3t4j2jYXTJjHm+4x7yNk0wBmtLj/2DnUUFoYT419LFyeZiaRsXb5vqkk+QJLOVvfje
GBak193ihcsXV5y5+OMsX2FLWjxziN63Lia6HjNdv7jqtMBfV2G0YwK+3PTDuGHqO33JFj9esTjz
nMWj15YCMa3CtycXB9+4ePlGFz9Rib2vW3x+7uL4Y2aAkiboX+0BNyCL+AFNZbVDoEPC3uIZnLs6
IfUkWsFGrc8VxsIOg+HcGDfx4jgE2DztWwf32hQ01pmktfK5G/AoQrDZVaxus9VV5wI+zDErQ0nx
A/uBbldfXksCisetHQ7o8ZgeP/d4K+5AWjD3VuSqOpBLR0JfB3kvHOIVbNfyrtxCs1QZlYcuovMF
+rw2O1Gcjs+kHdFK9PzoaaqcAsR+02Nxapiap0NUbRU5LpcCssZdMI4oAkuHlaq0B2/PA7B9CbIc
LWceDOVTXdTelccc58JksnZy63dtrFWiiEjMVh4DYYebNnOYSGaR3Vs4M3DaMGKrD1LFbOHnxqwP
wpjRcwuS7shbKouRUDkIqScTD9yVxhq8sxl9fw5sVCKbKU4QLNk4H3MUEfehQ4biVGXNvUWT8eT4
iELcRSuJMDz/3LawvSmrSHBZAhOs3RKXvO1Mwkm0By20B8BZr3qauFsGaJy/sZJ7h5k6MwxAaRu5
SJMoPMonjSHsi+ypPgzH6UnPVB1HVTb8DA/TWw6gscbCiXiGran1gKsKHFbHS0IX0f3GrBN9aydc
ml4f62LvqYEvL3SizwGM42xVNSZ+Ax9hkmo8v2CHw3low5IXtEDtCUZTWb3VQ6U3U1e1Lyn330VG
YPcCC8MbEk8ZuhIgtuVTaxE8qwVNJcDhBED3TvsNbcx0G/dNe/P+yXI4duGOEAdevrTt4I6YLsQ/
niQI2onT8M6duAZd+r/fy0XSTGnWP6jcHdeNr+EHUATrzbulA9pB9xhMFT8Iz9i+9NDuqQ1AO701
IwVYa3Tzz+9XWu51vNsMGKpfWRplfzYRJEMfrbkZ2whFMDJm3IBYkZ6oCO1PY704frvKDe6kl7iX
DU2mMzI32C0S/b6d9IG7bwdOat+79cFAE4EcJB7bHfKn7q0LUuJ3iXW5IVJAX6H4sM8xiVnnURjV
NuWKJGwo8uLPkY2jbPQqEhxxo/JCQ8g7BgyWdmWSGvfNDB9spjy5F2zh0IrQ0H4/W4RbNfdZsmiR
VBHX3dpCjrduco6cDlzvaAnlxiv/PfvbT3j5fgQBEZRLmTTzF9zSLyHmuLVNs3Ct8vlEAuJpEPoW
evDDIBAuDF7zuaaUp2muSba5trseB0xymy6pRWWX7qtcfvfG6CpiiLfq0I7XdnCelIPOPr2A4vyU
SOVv6Oqhh2FajM2SPDhlrOxWI1yw6+bc8RzrV6gF+wsrs/yz2+aPFIXWyWe3tSmsMNn4QQtAOoAT
RijHKZvIeZryjYqbg1MH8a3VGdONNdn5LmwSfM1j6KcXflMsYqfB3eq2YKKPOmE/DGW77sJCpBtD
Wm+Ur2yb7G+C0fmVINPgisJdbWu7IujX9r5Kq9sj+bxDPFqui6F3UHAn8YuR2M/KCL/qHijjXKtq
RzhZBzcG1aRROXqDxQTDhS3tYd36fnNP5Lu7HtJ8fqsGUp6QV64WQgexLmQN531Li7PAMtMRMePN
nGD2p7tJLC2BURfQT61HylYysyNcQZOuLs3QdvYji/DGDPsWaSpKCzPqMW7M7c5omhfBYGM11Y15
1IUZHCQXPj5f5uzeEL+YVsUcCxlFb+nvJC+f2ywMvmU2bjF3FObnAHsbibHFQwf661Vrw0ErMbCJ
d0S4Nntm3jGW0IMbxa5YDUxVN5MzMIfKkV+h6yQPb8aHFcX3olJvKLbirVmH+gR2YAR3SmO0Q59o
E5lT0/bYzoNdHxvLP0H5L+64rAgb92Pr1pm1ux1tND6owo18X9RFuyGzAqmYZbfflGcX27myL3XV
0IRu29e+bOyNCFW0ya3h2YyJ/jMbnvaMjj2Qaf1XIKYvjGUvTC3ix9FqoVA6xYDGEndT48JgkK73
GOvaXPvchuwb6uQZIR1zH+VsOsAexzHEOkKREL65gTecA9wIj4UWSw0RRIv/39eHsYtHvHs2AyKY
L/ljjrpw5ZJo900RX/YNZxl8b1kxMU8I9moGg0aA7467QvG7SeWQJtSZpwD9wZ3jYtxOUkFl5SwM
lVaGp3Zox8+1qcvPZNQ4hOYyCPaosFbIvmZCbYnJWFVdhs+SFh+hgTjTo5U/5clxwFRsHZQdW2iM
EOmdwK73uzARxH7h8kNFPBk3viVJ3XKwFnISG3Mdy8RgeJb3xwCxLldMHSerRnjtMkwbeQxOfXNq
6HkeXIgY21h41TZWggBjqGZnnFhIemaS1UmCjGrj1CWhd0mlUFxYZiO22YQujVDABrmLnL7Tjrdv
rCrpHkeZjcTdBuKTLxaZGmvhBgMFLpBgVBvDbckyCubLgqnEFX5L42A2LGAoIsS+gehEUmuX44rW
MQ5xK+RjlQBD3PJLoMgAZCs+3hQISa9lXMtd6SDhEjY6iX4s4jU1w/UEvwLU2wVyPRwj4fySS9m0
G8QXoB5GIdczqc3kQ6tyV7nQ59HZuBdzM19PWaovQHnzGOhjtOClGm7nghqvGBrFk2sIb8h4Ke9F
rpCUOIXx4nTRifxq9W18j8TwdbeLWp+I6JLgMsMR6HpkhsxZztziKIsXt++ZJ2hzUwcT5tolxUyZ
o/fktNPFNE7JhqTre43OfdneWyus2OQh19aFjxmDTSYxWEOTfBOTvnA6HnmDaBCRZXm/ncxpOmSD
pdY9kXOXo4iPWSLObuwhq4rD/FLP/nQV5+iYMQEbaWFtMUCeo4LV1boKesPPFiJuWlpErhDkltw5
fi423MJqJFMQJv6A1tQwEh4JNPbwhURmohFkMi+dLtEf+/PRo1Qp1nlSFd5Wq3zYTGHLHtZDoJuX
8Or7vtlUfgYnSNHD1l/TIsSzu2Ic3Nh7noafcJ3cGUTq7ao6WsxR/XgfB/O8tfSsTknuNbt88Nxr
LDjPYnay7dz65wyA+5q+ZndGoW1v6JzkNyJovS9qavQ6t+v5i0Uj4HqsoNln1vBNJpqZjmcP1+Ew
OJuAGIqDO7H7weSibrFE2ccx8MU5oVTZ2jHmRG0EnxETxitR9fnr2CUa37BELVTH5IQbGQOr3DTX
BUPi9TBkE1LwkEZZ3JZotN3sAunAQ0SU1cor3KuZjsQKA81bYNOfdUUlT6h01mXjMiW3Fe7VLDro
hOTUJYOCoj/BbPTFxFb3FhRefhzHWlHHK3fv+BkYjDy6N8HPmitBLWNAleiKy3mOQ0WR4OqjC6fi
ri2r+VMpzfJapdVXNqBJtW1s0WP36RY3Ux03m6xOv4plwtYZonoLBpIJVgTWdLu+zoadJED+hfLF
39oYCc4I1Oc1NdDZQS99w7ghUSsExs6BSarYBBqN5NTX45NP//1KtE59nMshBM2qO0LmakFa4hw6
6ZdaKDLS4zybaOimPArMSOLNZmuIwmdE3/oWJiYLB6Jg64wrN/zUyaB9IVms/jKn4AowsjquwZIf
kCPak2r6UC/gCwj44RV53w3CUibvoTVfZgsoo12QGc0CzyDye3yxFqCGLxa2hkcYAfbrfGlK8eY3
IqEoyd85HPWC5MDetuA5ut9pHVTPHfCO6QfKw1FgPfBTDd/TBfURLNAPJrDtfoIDUixAELWgQfCf
HgtJXlmbyPDsV+ZwmyCWODsLVKRY8CLzAhrxFuQIsQOEIywYEj7YIxs/YiQjEk2NHFhJ+c4t+W/X
59/q+lA4/F3T5/+Wr6r4tefz/ht/CAjsiMmfDdMqDBwTsQ0zpx8tH4BTv7l0g8wIRQyYQp/uzO/6
gcD6DV4EP44iC5a2tQiWfu8Aefwrj0bRAokNAOyB7v8///MLF1h9+PPPsqxlWPmTNmn5OBa+EBRG
pJ+5JmPLXztA2Hd1hS3P/ZbiV83ZjCH8NjfjiGq/23QdA4inHK9zt1PaKStQSeQcfoVt3NZHi8eU
sHetsfgJCxEa3J51RIJMugpLekmP0qyMXINWbv3Zp/E7JQN7WGcA7bB2yl7PzoYnk6IoCII2gLNj
tsZIjjQ8ARTT5AWQN6qjjLzMuTe98MJRgBW91cSSEkkKi8kI41095Ip6ASErOcA/LIG/HK2fj471
K42UNhtqMZtkIf6HzICB5a9Hp1G+BVZq9r61ahwihvNJkFL6s7Q7xTVkAoqe9WQxWfkucD7qBzeA
kC5RCPeS70NDLJkef7q2/pf5qf2Xj0StyYCZ1GgPg1z0kWu3WCKqRsnkDZGeV1y3bpYUh9ntBa2A
lIc07RTitwDrMN1qw35V5FOLgjE3Gai+NpPStEeCHkv4AUuTwj0O523uNzO7RvZGHeGH81Mq/Zg2
hj8Xwj/NhMbyY9A5FIJhM1E97ae//1LLSPpPLQvNUA6yR9JcaDJQ9//CjsbWOWVGUdbfTMiA/r2H
zr85E1/UzLd//0a/9juXN2IAvBCxPXDlUH6Xg/tTv1OXlYACMMVv1N7U19u2jAsXh7fJHT45Qe7e
MBbwnHSFXq2k64WvNxjORebV/wSuXDqrv35lBqHoEOjhOgE92A9TenCk2oym3H8bFNrIk9fqvANb
XxmQfQ84eOBd/acHGUcl6VRQGy0z4Ch8+O6GRWBmUwbO17IXS3dF6NYYCgpO8sDHf3iv5b749dux
cLlEVHDBozQM7F+Psw0foUBDa79NVqIy95u9uJzTy7hlq3fAYbAc4pKkI5RHf3+C/3IlsQGlc8x/
oVyz6H4Y8DsEuUuYoOrrxIY5BIsWlOFwJnAr4+j+/Vt9EFosFxMSSuQAPsJGFm/zwwHNm8YqmN5V
b6pkdxTssyiuH0u7Y41ad0ESJ+3NFM2xWR2bTNa+ufWGtJifchW0rbOqShZEin7mrdFdnvsAndfp
UNvlkXBfGeo95GaXZuHff+i/nJgFt834AayjRSLAxwXNYnPL9Musv9awDvkUpJgX+ffB0oQXNU3l
N84Gun7T/RNa+0MKAQfLizgraF9NNClovj6spLFhmVMrPeML9DTLnteIZbJerYOwTaXJ3J7Kttxz
mxTBq4aSOMHrl1JG8BqMyR4eYK2MkkiicJq7L0kNvWnn1L6trzxwvuqfcmO4Lz5cwHzAAJ4st0m0
JMh8PLdewm686mXzJQ0z5ib0yXU33yp/klxUs2ZnMxCF2yr/ZDhxxt2katflYVADkWSxjAo30V+5
AKv8O/JqjgyPP7eYcR5bEBG//1iA3bhldWGPnfjP8OyhbqyHCqddR6xapzg7NTYaHsM1qC/OCCmT
yxJtYNngDW090T6n495NL8D2KCFW8BtijoWd5w6LvDlnvsh3tis87m/BiBvrse/m4CJH+rIWGpNY
zbfc/pH3TBAwl6acm5zPaLV5hELeqnvruVANQWXbHvvK/DR3TjA8DFL4w1nl/JNxldbY1OBMpX7D
ObOBR/DWFbniBXsrpzW40dlqNHyZBqVEmux0WpMrtlJjbvOTPjpAfiTzA1UxIAGs2911Y1DxMNNi
ylmCFY6JRG/zJOKtjYwwZ5QwBF/xbujqWv/kREUmXkSYkckZu4PIrkuXhtTFaJFef5XCae8P/dRP
XEtTiApbL7RBS19hQUt5WJrsp/ibCGObuw1QUkf4VuPWbVHsf/8CHq07vioilWhRTADq54B6Zs3l
p6ZkWcTKKjBp+gpF7HC1zYJWw3ZSbZHLP15DtMKQWyeDRZbSFyVvY1o56exxDHon07z11KYsjigZ
+E7Jj6PqFsXIkfPCtucHxrFLiwOK9R6bgJVGyzuSz07VptvY57C04Nf4eiz0y+XSRB1PLaeAp0Ja
Yezn1bnuPFpZu9zBe+qvWvA33FNDHUVcNYktS86Zg2iM32L4GAe7LumK0DkY7pRp9n7TwDFspiFf
bAosjFZ8H5IPzTGZg57U9kscMwPWWmbxS+2WWxMtAgLtqBb5EjmNj+laOPHACIs4tOW8M3FhFdjK
2Rn4Mo0dL9evdITLn5LQAbp6oMePIG0Dc8rlVugJuuNPcKkCnl24qzo+kubb8w/HPl8+CzYhx/XX
PnA5/VWHiCmbjTP7pBEOPj0ZnL9VFi51G0DAIjspN+T6x9/BH4gC0QEfK3eRKcF8HSqOYD+N5KCt
ZrzNvFJJCeju824iAJoJlL9coktpPTy0Yc1fhYWarkO507E2UDrOVBnumHGfa6nnZfFIcfO+5sKR
yy3NcIIXlaZrcSY8Rd1IK621nOEhoA3CUcDgv6A+0PKpvLoGFWXxggK9CZ+PTXW/XNVOlsluA7pv
trz9FBLYJInNe4Cjm0XDBt1hsKxMaUmHeuebxs4r0Kw7u67QiQtVP8XovUkG0H63ntYTl3+oAEC7
26iid1NTKIyND5wO0w2yCrMrBS3UOHeym8ZKM3Qu1OrLGaYNoE1GadzLiF8zZUL+WSGtxUYPQVUp
Y7wqiJfgM8aG4twIMOQN0ANlQVcimCgH4XiPWzl261OjmgiIgm9m7shYUyKAY6yGEl8L4mh6Mn5o
VvoherPY9hlTxE5OumUC6JJl1v86j6Ch6H5Z5IyjkcmRQmNKI1smTZNj0aS9FaD6jdRy8WT5sqQE
3ahFuys0mVPImEGKcw2xxUYzd9XQ++PfCXvopXVCO8VSSdOTo7Sp4AZh155Mw+rFSY1I3PJdXoue
s0RYlc2zoNHVyGtFwlxWwZ6Dz5ULIyfuhp3ZtSM/yRaGHgh6qnhZlwpzqKa7CNcWF1KK94/lqXVh
kI1XXWqwOgwcRe4Fy+4UF9QgpKObS86+0N5VqBOu9LBUMx88neA/+GvXKic+P8slj6NBt6R2barY
g2fHdKxcHrJd1wsux8n3MpplQSg164MOU8O9mUwtWxBiuvKYhomu5iuFjSQLmfb8UmKZBArpryRD
shv5fR/Cqr8cnLERThNd/D/2zmQ7biTbsr9Sq+aIBcAAGDCoifdsxcZJNRMsSpTQd4YeX/+2ORUv
RSqSqpznJDIVIdLhgMHsNufukyl2VZBdcUqd+6xPIbviU4id0AZkZRluHVyUmvuwmfjy2JHm7PZ0
vyVXLNORHviuKmLJi50ioGbx+MyCcAd/LusioRbHJuNUgoW7JJMOnAFm6O2eJg6HlgV6hnsspNID
V0Sikcn7aUQJb67jh6jzaKZbTJzaCdvupg0y1RkruViz98UoR2aJzWLKj8hyAGdSrsUt+dxD45bt
vGro62/IyBvjQkWF4VyFXKlYV2WdNF8S9twF4k9Z5c8O/AcF8cIr1NO4WPn4YQmM3NTuQl11UQt3
rGF/wfDV7kSOAIqxA6yB6Ek1iOz1fLFZWJci51iFudGhG214RopNfvKbBTgTI9IODYkpG3RIv6hx
zleORJEYrGplzN1nZpN6597Lu9lBytc4MElXeHDPoA/rgO+vLbrDqDvrYk6yHIYGgowFqmG+mGoX
2mixLiZejp45qexqpANd7wBHRczRE6AtxyiFL8LBxxTVeTvPvb8STmdb6xkldQXlK+po3BjAu7Bz
ktJGgefm0QHmSLeBhDkuF2FQmubeGq3Y3jERbZXdqpP5kqzjULjGTZ1VhfOAABeM1t5kmKButgEd
7ek4dZPoroy2K407x3Da5bErWdUryAaeeljkEDFGnneoHeu9P7nRMiEzk7W3QcqfZ/swQX2BgMLx
i2oVAAmw47VE5Nb4X60i9cvnGMHdMG0yr5ub76jEBGzGXtaVpKXZuh2MurBsXH/TZ6aL3jUsjMy7
RhBgZNl+8GrC2vh7zLBhh/i38sHR0XxzO4rtlNc7YUTXyubLpDT4T9E3rZ/Qs+5oFVVwIUYIuBxL
dSEguz3gSlLXzqYORxWCYjQZJsgQPepeFaTskRdGTbOONUsD6kqyV2Ia9LESsJHwcje+Dh8VBziv
A8bxeocrkAaxlSTGDNZml845RDX9xerRv0AfaRCSAiscOHrcmFYwJaESE+FlP0vJ79z1bqWjPyBZ
OnOQqbVwtTPTH3mw75si8T4BXCi5FKvGHjjYR0ZHraHuG5dtEhUbkb2fGdylPeokouDRJHYz1sHM
MIt7kfoApkb0rmNIU14UrWtuBwuyqzggpMoJiUqbjN84K/qCkbkVcQkNPZqshdIbYpHbnNGjD5F1
PBtntKQaNolfQb72m3HiSlUUSz4bMZ6slvvBcRv+WxUGE78MSxbwJqsWAgDX3wap3iczR+b8FXyl
A66oDOvWUk8M9up4NQB7skD46ZX3dRybEgKXncryEvbJwLHY1bWOpcpa6pCFJou+R11Vep31g3b8
nNH0zi0tcOI8pG5ARxuMkFZ7KJfbzx6OSnuLEpZyj8dwCqfUzxMM61nuI+bBumLhBaO+ekugo8IJ
Ai1nUO3npCDpyHtGXEe2mVRfQd/S48kOf98JsLbwwPoaaA71oRIB87EqOq8Ar4nY1geLZOR6KSYg
N8lZiil0P+XK4mJeHiMHpmU9kv713dFvwolvLNLS4hn17SAtdV0yEjPGN8uYmmHweYCElmaHmF5Y
MZ6hJfKGI5M1Ooq1FjQ101YpQDbxWW2WOqgwuzQhBB/tWSfyvtewWArqdaDFktFUsts4mU2UEtmh
juaHqlbKPZh11A7+zdLFdpVceqE0uZ55QSjbboWA+U+DOyPIPOato1+RpkBmfr2UDO6CdGFAgUDN
ykmNk4b2BpDZkNkBm26izImzo5fTNR6GiEOzB5zICyVETRToCeZdD0Pn6fUYQrghskahQ6oNLKPk
D/x7/beJStRyM+a+5Li0Yq7LXsex1KEhUh3Iwwz01/pqX16PrKMrdcxhuvFQVcvGV1wKuvPRl8Ef
o0QdXEtmKKeKhrUAoXomJqDVieSMB56XdlBeFXAzhm4T5a1vMZkNJEAQ1I4VXP51bwwFn0Xfnq9g
anAPxQpLh9ZYSZPyRTJI1NOg4G0U+KT3dcfmgghPXDqjBdR7BUmcdVaYtk4CU6Yp+DUWLRBeIycg
vCTx5Dl3s7vMF4L5+fnCk8E8DfvJFk32NMTWxE0BPqkjnzYyB2KNtvIV3xZRCOiA7c+M2F/grg67
Cb8Isq8yagR/ishZANfi4TV9gwLZLDemMdB2EzHYUH8zxCpqjYPv1aI/eksuEFQZo8X9x3FBJ93g
BnUUpiaa5GjvwfHwL6OaAYlj2IYRT60rKOhWdC2NJUCiNLglMUrgVssjd13vuIvVkPOe0V6EcKnz
B5aTB8+PX4QwXG+VNXuyd6glpqpMMciJpX+wfItm55z5xFEvrx6daB1a5UYBVAqNYZVjmd0NA0wl
GBmjrh8ZoZj1kpSmP5YfTGZOy4YbgpQ+Zsc3Om7kaAEUzA5ky1F95XmZQ/A607ndh3E59bceCPf2
zO8nnKZ8OO94TPXScIgPAJQPbJ0e/FF+TeAA7A/2aVPqSNTGW5F9ZnzJGqcsynhLm3Sw2KQI+Htv
3VK5svNtEA06C3xJLPJw0RddLZOWKPGWzQxCd/5CxusMPvBa8EuJyeof47LkkSZWry+9R3RIK5Ix
ORqNW3irTnYla4oj/MVlZkVBd9EbVsdjNOL1lDFYUgKRStqFzkCMEuFJVJPO0OeXnSOYWh3oMhyi
V+X7tbV/qBkxZR4EgoYOk2FvC6wwK5mGCfLx6xR2Os/E/zzH0tJw4LkEq7ZXfN8/fOTbcidlKp/0
lPl9x8JN622dda5L3C47r/vqeqPu3rwsjRy+NEfX+9/u949Ck0yMq4fKKJ6/Ne6yGaRYBqoTXxMH
OhGRp+cIZFUTmzV71/ufdaoG/lo/tigdSwyXGFAR3u9dKSjfbT7mmfg6iaInkeljTaMFj+bEvIaQ
TS3OwsWr2DT60nHxK+iHHDH9uu5s8m6qELqzEZDy6r3nZWf+2fsoVaRThJKRDs4E+vgjf3r/8n+7
VQg18ANiThTnawTg+r//0mWYVFh00Sjdp46pWq6DA0qnhRyupFDvf9Rvaw6puMB22qMTxKzf23o3
YRQ8UgKoJ9goop8P4eyn46O1SP2KeGE0/nHJvW2h4NaqJxiZ36NqattvPbVpYqMVp37/xJSu3qM6
dKHLTZ+ws99FNvigeRMGxPsEEzN//p5D9FAf2O0Ah7//3d/eZrqmrqt7GbRJXQuB1uvbPEKWGqBP
iy/UJEgd5zimSoXEV6fz73/S27tsu8Lk2wpT8mkUx94UrzMCQ18gWfyCXE3CXalzfUAlKZnaYYht
HTW+/4GvvZdomuB89ELKcOnwUT56/dUY4lnYTGb1BTKzrifj6KO3OTZFZO6otpp8QumMNDQO1og+
Yk7G9y/g5O706xtIqCVsDYqAZPYPJmNkiVrpI8svTWzOCKLpZS3ZlqpHHKT7l7BlULEOjcGL6P37
Z1HccJFMiG3hdWCAzsaXm1Okri7xUPqfeYsrJtvJFpbcLzkSWrx5T4LezvAxe7Kyjt1ajq4+LAck
mFCP4tDkxV/hdqvrr53EyOSbNappxFsso0TH8AyA2g5Sw9D4y6bKDB1btUOrwy5D2VgFrduk0ce5
VyfENrIV+oiva1VzWfKlQN8S2rNrZhnzctRw/O4U8dkMBdXrMC1SdhKzxSGF8liUKiqT9jANushS
ZpRl37/9vy046WDv5jFHHED++21p92QWsWEu8+cqbgQxa1QjO6w2cMV1BPCzZP3+R+q35dUDZ6vF
3pYejY8WACrM6yVHo2wGYuGPn4PI0zXGPgm87EpbSmfGtdmaXMHKyYOeJGqyQh0UGnmhr+b9y3j7
zQUwWpOdU+M3eedO7e9f9k4M25j0sLv4c1ZR/jwHW9wVD3Y22urSbrsXJsa/7e+/3UEEwZkUVIo8
4dOvfMslYUw0YhKkbb8McP+WRzeVelmkaa0jq/e/l/3mlea3+xLnQNOTdN4gN7zpFkbjZOZ5OdgP
sKRN5PSUL7toF1FGJdNN0pHTAY+cpeB/JAUb1uXkiuCRUNhV/qqmrEsJhpRH9+/rEeoQdYSFie6j
mURkKDH24QjmqjTWZa3J0GUAH3IsL+Hge7pMnBV0R44DZj58OSNzOYuiCAki28qAKJOsykKH15wZ
BvtovkNdHDlX79+EN/ebewD9Rpi8pw5Ux986pq4bdUHh9dNDX4BLz/i+tCqylTFi7v34/kedRrl/
Wc/6mbJ5eQguPI5F8XY9j1VNTdVywiMWYafP6kFtXmu4gj6a2OrZgl567zkiHe5COZW6SvrzT2rA
p4bJ5dHk5rqO1PVMcsGanc4u2pCKgoFs1lhwI69jDEGSusjG/Sx6EqYtUCfS4wQFG2nJz8Yf3SLd
RDIwO+LdWXxz4b8NVaEf+OKmfApsQ8Jh+VKaGCwqoN3GcGP9JFOLqGVcyYGNv9p0KtGF5Z8tNN5I
1m5Kz4NzL8ROnl84W8VICeT9W+q/fnxSaoizzeAaYGTOQjjKr7eIhm+APLUOv+WDkJ9SVWJGZ9Me
PXiZXzvU+ONux6RLwEhNkoeb2gnLQwG49XGIEnM4cb9pmkYCmeiM/NCLu+YhJH9tb/KpHeJ17A/2
IQnS24JW27ehdtp65Skjntf0crwPAMGqi9hM2itOpHghW49xyTLAKn5c6CMPUDNBLTFqBY5oQ9Uw
ezQWoyM5gNA1rttA3TicStnOyQ1xJWc1bLp6brb0xPNHtL7OeZ7bdAnSuqOcV2UjLbzOyr+gmkAB
OUXM0PRLY1obUSt5tDmfn+oYP4BVqLyYEkbUtns7LWEvS9E/JkIgv/VNA0w9qKP6c9YH7XNu1Ore
c9qWsCjsD+nUpzvaBHONZJ7mMurjIGH01ymGcxhmW2BiAwWbOE0/9r6HX50f9pgDjao6LilaWcJP
AydBw3DWgGpunY4RInvu2i8WDOQHZlHBt05ecZHJNmFsbU4u3l8RrzdrFgRtZTYzl1DBwSPyrZwG
r6RMNm5UPvO8cIWwwzLbenkFeNpTpvfw/oe9PqBePkwilNPHPDGcsF+vPihhhHYqKJ9hOxRohCbz
iLLabldFkV0NjsDjfoqq4pYWocz+EI/9tvJPXxOtDi0bNvG3sonebQNwFKp4RupO4ipyoLg481kI
397/kqff9K9t6/QtHeahhAvFgwP5bRI52UVmD2hlnq2x4p0RtrYeqEh4gDfGubxjeCW8SxgOrmHt
uEG9EUOd5HtwNEyu5R2yL8R63gflqeC8NBr5wHnbEif1eQcXiODF7sqiXtmd5dyaQ1r+AK7vX5aU
Z28HpjE/Bil5KtNxFoAKfDA+iEJPThmy8KjeZPTigHdQWFPB/JxWUUcroVc7K3LNJ3PqxHrh+f0h
FnojwuOW6DCAMIj7AonZfhsSWIZsJ8efl2cHpTEOhImI91ji5IdpmZ6wtsw/CyOYNr0d0fRolOEd
HACY5eb9J+Pq3e3Vk5FarKn1IBbCMe+tnzQ4iYL2QSyfo57GAeU00OmT78pg09Il6WCqAqqURYds
H0xtQbenKg4VdaurofYGrA1kZHxYmK4/MPtC4UyFwZcC+oC7VplxlcylvJwFo9yiEEdqoPmHyuCh
rTwaY/N66SbaLmnVhmtZB7ADbZLv3egkP2YvTa6FxIgN9Kl7SCJG8Aq3w8mrCtv+65zH/YPJNM2t
USKoZlbEGnfC7kaML1QSHdFQwwuJG5MvEE9Ai4cuogUg0yalEcKZeM/oDNOi8ex8tKhqA+nMMnf6
w7LXweXbe+tQXWCymWxW2vr9+yXqwxaC9hpI6OcmcdxroxHpIzOdM/CkpjTxAtRI0fcf5xsoH6tK
kmahukWPJJDgvSUfWoyTqoKj83tap845ZTMcQsJ+Ni4oVKY7GhEdO70bqedamPljEk3dZZIE5q0x
BGL3/rV4vy8tQk22T9u3MSq23ooB1Vi4rR+V5fdoosFA3o6zCpCFeNg0BT6ajWlnVDiKivnDzqVW
uMFUzT3EyGE31EkCfKgrA5Ceqjz5KemYVqP0Swm9NNr4KvOS9tAI4P4eMIyzCGyVg/NfYI9ozi37
BNQqEKfDnlv7xeLWe2bH6l2adcZV4FmauDVKMNotpmszTp7lJsX2bhfBw4XabiXZZUGbl4hSFAyA
5E3OMNAwpvRwaXo+ugOpKbFIe9/ZU3kWF7lQKyWRy+ipJWtZe1T9bkSQlLRcUdThMDPRV+q8PI/W
sDjqq7EO2haXKOD5a+5fxeieL0e1N73IRuxfJZ+YI+h+OImND1E7pExdvv90ft9/WCkBojmka1Ba
fqvrCZtOaDaN2XefuXjMbnD0+4rKQ49d88jIqeTz0vbhmVcaX+chHbGV9Ia6+NNlvFZqnxYs4EzC
ZoFy1bHeLliUUm3RLjL/DqCFgd/TA/EwKswZ5fa6nYmRz7EBHLmbvTjc1kE4fY7BcNesk+VPBMk3
BbqXi3F0bZmtQyPw7Ncv7FL0+DpOWfo9kqZ333hWe4flnIEZHkEG52J/3edNd147ZXGWT8K66krJ
QSbzbrpJACUhSC7H4RKvNPED5Xzjrvwmye7/8OR+CxkkzD7h8oqjmSapfFMhGopwLoLG6b9T9W6i
ByILhseoJDK735rDte0NGT0lhuX8ja/c6kfMcDlDu6Fdj3vA9u2jC1/o0pRj9mADYaZDwimwg2uX
c7ujVK6ZzjF+rrf/YtmOc/39//3fp+ciKXESJEn51r2irNGtY83/e7rGdaW6+P+scQDLk/LVwIVu
9PGjPycupIuvDCojyqGutG1gX39PXBgA2rSe30Gf4BDHnfgbP0cutOUMwxD4cFPEp66J5czfIxdC
/MVftXQtBlSGRr79JyMXSF9fnXZISgllBKpoXWshfJbi9csjybILhMrpYeo09ZYEJJabBbzUuLEH
FSB0GmoTGypTxt4Z7sfMpsO4CpBDsc+Ua3v0kCyIZSqyLSMYUXMw8op62KoeygIMVyxwB0tchsS1
l0pdddY1HlDOWef0lvY2SZvPUNDEGSpIDpQxpVW4OnkmFgv2jAFumJ9LINOfa3Ohn4Y2iaBrLC3/
Em2G81QqzV8NCqNE54I9rebQ+PXeRuCttm2mUasDyIRinaUJRIKmCx57Slw2860aQ4Bkabo7WZmc
kJMqxdqWKVYCaVFPUgGjLrPqvHJV5Z97ATzalm35mOPfEK2smJa2VWpQMWaQEBbYWTDJ6AO+Rh04
QHxtO1IH1D7W0aSx9iTtSZMTjP4ghlg8LNq1omQe9NAKE3WFh/svHWPKt6savfZjyqmT0JxKau2E
kpLP1cHSPgOA4w6UTmUfkzbH8iJsiMwnofhrwHmpylSu+zRD1qohPXABrjVytXR1pxtTRPYxDeMK
RCU+F0glgmm6wxeHz/QzaLI5noghShwXg5F+NBn5dRJoJ5RzrpkfTS/9AQtYhXb3Kg2T4Qw9VXZW
JpKfkYa+nwwzaNOXqYBcwbrm37w8UAjOmdpECUYxdq+fMLVU9L/m0rafvLmap8uxDrFDmzI7LTYQ
2bPk1sBQtl5hTchvqeleYTTSatM7N++5L2NqcI1IynAMHGcHh2JpYOK5b7oC5S1TorH5USEqETuG
iAzQAuPyIyZfBWeMxPQRacldt7TuDjiUhytnCGBjsdv0VmJG4OCK3SBXsAqYyA4LkIxdr1osHXFP
dvpwN9falY+tmX/KWEM3Yu2HcyJtxB4ulyj4BlYDbUyebCA6KbawvsQZnTNoyzl6FYifUcviM2z0
juFg8+rJsWZqEhpEtEWKh+8njeuRObqJB1xhtIatz8lOJUvrEisLYCzJOgtyTH+Y0WW9WbyWl1Ud
0OyXaQi6Ix3w/GGem+tOlh4cRaGhEsKMCJzLsWDFhFbfPk+Tw0cCbuXZDXqdzMFUf4bjgSEuqqCz
woVT7Fstv6xrTLQl5MVbicPfHlhWACDVqj9DOg8fT0s4MST3N8MIptIve6oXaegN090oem7JSGJ0
M4EruSkWG3hJnFIEIc0NHukAcOM6dIliXec+C6aXJtR8bHBZAfqVQNhJhT+hNIxlUc/DNtk4Eitp
Pi/Aow9MihN3wuS3js5YhY9Gag7GqoZWWK04cYt1riQvp1fNGDXZmJHQEB2H1ZgUfB20nahE6SAT
4M78Ld8khiGO5CVv0YpE21A51nFgoGI/mws7CHJKcSbxacJkIw8ul0ZjszssGJlZry0gzbnhM9/e
yzYWN2kzYOpjqHZmP2W4fGPmtTx4rjJ3Zg6+xW0mYyPG2FCriY5BshKTAjS/YKZI55CXAncLVXBB
i2DHKuxqjO/mdqqvTt4/J8tHMfMuo6V1zvwyw4qqQCuCeRGimTOIeNQLO7YM5OLWsUNsyR0snOmu
ZqGDGoqz5nOGvcUhsFoa8ihUjlKw5r1MeydR8lHLfRvQ+j1MPVukWPjCU5axoowAK0dQAIZ1xGNy
qZmnQU2wFSXgonNGBEBBIP3f9w6t8fUw8pSYNNGEdZutGV9q1lQIpAq/dm/hsaoWHrs5BrzhE6C1
Y9PP1jFF1kHypQoC+8KsWC9WC5Wk0k5V1KQAwRSaUJ1oy6yCZjp6Y5x+w+0Q6JUjwfPM5w5ysQaK
ClaTGPHAkoldVrd2J6YkETyqxLXSC6fuUQhZEvOu05qnLcIPmR3feW03ev33xHjXfTIEjzQDJd/T
1NveMFpNdzugOZ12VATZ31SL2CCPhV6PgUam1I0fPGKCwIN82dLS1kqKTS1HlpIbQj86S/22MfCD
cka1BRBpUSDk7crzLEihBXB7KbPvTm9cMfjOo+44WuupcVW8O+2sVRVb3n6EEvdoJaIsH8comrOP
7qjb/7mjdylrGLFI1x5cKAOCbYoq7taKe91EomwG8fJM1TShCH+JYldIMNmBg3yxrsfFZSPLiR/6
tV/5tbVCvFxa8QeqsOjBmVIrRqT+PSEE3PwS32mvWoKLgnoRzuGSYUtuSRLkt0uaf0/NJJf+Ou+M
6JGjFOFcx+DMOV6dGm2OAuS64p1UuG2WCV7Yo+3CEG2U91yVxWMVWeqcdILpaTTBo5ZlC3WkG31W
BfogarUFHj5C9QVnjH9jUQwEFaEwy1ONgOlqWd21C1vxou1J6gZtr5dQNsQKFs+9psPQ3q6ay1bb
8alOrk2Z8g6Q7p7sDrpuPkMWX1/IFKxGeGNqa4Qg6D6isd7V1Ph3BhqiG0RXqxRPhfDkrjB7eW1w
TiCpDM/gTxfsqilvuON52FeYvb2pzbrY2J69lLT/OjdaeY2TruvKLg6WBRdylTi1D7c0wxiltIdg
JYHlogofz90UYcrakOMME7Cs45l8i+m2A+MYCbLWtqc4Yss4uOiEs3zwJy2ITalpy2RqsFEx8N9D
g/XgWEN1ZZhe+YFhc/9cAhTZ5Jajq+J+xewDpIWVWU/2Ks1kf6GmwbySIjLplxru9JQzRPSAs86D
k8omv8TczbltsrjEfaodcS5bVLDzmbT90c4qYIapQ1U4BvYKATXOmq5MyHdmTFOMNDiYA1TbGebT
tvDrCYykk+JCKtr0yldxOl9xv7zntPPL3dKPIed4Ym6jZHwAmYhePpFqL8PxC56H2j1Cfo0oV+EH
w9yAlTMdLDJYjjY9rFsG+Sk/BaUHVaSYvqW9fTRSiW3i2LZXfhIvtwVzTOtK9gVYW8PZh8GAOV6Q
gAJv2mOjybFgUIiMtm3RVFcdc4vAtQvikxFHpYi44ZwxGevcZjji4AYVTtZB71xWYjHX3LQS0Enj
3k9YQaKFbfwtPrvZKmXH0jCw7MZp0o0k6gSmbn3gEABg4wzlLvIN7yxHYn8bVWItSlEebKNVe1+f
EOB1gFhEQX9wMx5YS9kFqufUbNJaBVdLqp3KChvRbGneZUr73+Do8sAEnnE5FzDhVoYv+Tk4dt7X
bqAUtwmhP553aLn2uCRVn1LCd+3ph18x69vOjrYK/YNESH9tesxhcPJKAHkOYD533qVVVpyNCKyf
jKz4NBkN5sSWzIv1oFSLZxDLBj8mUL1AaPo9XqwQiaAlrdn8o82CInsfwhs4G0r3uY4jZ2t31ri2
ahPBLDN3ZzNt76dQmXWzCat2+kREvCW6VkSCiVlu5szMtl3jeEet5b9m51fMQlEiWhnQhw5mO4l9
EefMytkzKl3UruNl3Bvo71HkpZB4W89X3LvOBYEyZrm1RSSuZmLxBprVXQLZhqG0tHDyA8K1IXpm
8wfZntoN7TQLv3iAoBSt43BRqyoS4b7zYoONSSUAibN+fDSy1vY59hgZWSW9RcGs7u4w+Gm20lPV
VdLyXiTA2R5rmFpnizfj5K3mbLcs3bLtY5M/pjLZeXZuPiAE9Fnioqgc4zxxdeDHRlokwTcEYtFl
1BTX8dC1H9EW9heF8q+8DJMuDq/wvsCf8FMwtsBQUaaF3XkGAjr52Hp1b54VmQd8yWisRaN9hZ5z
DETfjLA+NK45InELP4RdMBLNAl9dTUxs+J8h4LCph9ApwB4ZI6PF4cpFEyf2Eg/EBShV7mDVi/4R
uBfae7MXn/244NS1e8BRaz9hHGMnx9AtLhoTYewOOTHoC9Mt8EcclB3AP+yJQWMVE20hbiQQ8XTT
ZZ00dT6fmxgn383aNpNYNEeAOk43cWAQn/2S8d+8lIR/nch/XdE5pc7Mvvu0m4Quxb1VH/UYKiY1
sNlDWAVYTlNjF9PHxVn69pMzLxh+OgXzGwClsUT3sIrn8H3/Aixd2fpXqfp0BWh9dA4P5J2reFOq
HmOQAAt05oM7BT5oklJXYfvACu1ri3or3uNRWO9xhYzxTqvDpdzWXhsy0ddZR9TRIAwrbO/+89uC
MI9KF2G75/ymAyxFH1Zx6kSHEhryHrtv+N4TozwBEVmYrzuKo8WmLxaCI2OI/uSu86YaeLonfDyV
SR+HE27Om8YwXulZXw4L92TOSYVSi9lyThwc0lEfF/HsGnpk0xfHTIbGmaXD79LJnfRicJoaMLA3
DxmDRFkXxQfaD4xhNozi/ADfSQ5DQ+RPXbZ/eIjomiy0H8DoTfRsb8qXQ8D0j2A66IBTNsbYaJCZ
RY69jEEn5QaAtUqMFbceYtGnwsnmu6bDHqOJyeUTLIruCjww/rCsdM3n9bLC+gLqAG4eKFI4hl/X
hAxGD5aeuAGHIoOw0TM8IDqUpB7hERAH+oZOf5FMt8+OBSOyHsgvyrFS+V7DqqH7tbXOwbiz71+Y
+KcL8xBueJ5vMVh/eva/tGYkc4GqYAzpgFSfCDWqyL16iuCjkhNRkWjLe6BQvnM2I+KgniCqNjsf
HHu4650BsnWMRu/RNGeyZecUF1sow/YnQx/8OwjfkwhrUFgPOobXtZ4yMHmzIdJTLcmkmvqrmcLg
80tSmhTjdNfjBssmNNdYloTak3NIl+lGx3FPjDGztiDlZxB7ZE0G9P7teCPj0UsdSQltKkRDlBBp
Crx+TrFl4Bs1SGMvYpc90K6WMj736ZmyZiauno0fqDkYVeO+tBft5lzEXBbmJ8v9FOBnfh8Ji+zE
XVD44GjM/+Vm8U/8c+doeyoPCVubQI0qpUoDHylKDlVEBWzNXPEQbSMG/g7LXPDptPUo3nj4xLNC
SAieT1/2v5XoP1SimT18txC9+Z4/jU/q+6/V65ef+VcFGo6Vg0jaoZ+nGcv/W4GmOI2g0sMEgRME
xwNqw38XoIO/EBbYNIzpcku2UbaAv6nPPqAgbEVMzwNqgbj4PypAo6V+u9mgGbJYwSYbiB8gDXm9
iLMUWKW1BM2B1CX+1KVdWW+8WtATnhb8CKnDFt2uhhMKc3EZ1/h3rdlGYX+GJp3BISkBjIrF+hQm
fYH+pMwAtgbm+H3qPGPj88vXfggyK4+6mxIt+kr1+RfHUP5G9LQOyyhoUUqZ0VbxRuB44YCmDAvX
vU+7sbycpm65zoG5onzpzeUgmap3tAJTndNFzbAUhN5ILMv8UwxYVQSeupiYC6ScK3Kg/W66B3bP
VsUMTn0mF4yGiFG7O4DMDkzg5Aspk/EpyQuDl7VkV2qmct8HWPfWEdKp2m/rD8uE3KuY2luy1WfX
yPiSjHZSgLZvHZuIMKBkv6G6aKxSDvY9tdYftRLJuDKDjrkwtF1btyZjpPzN3PDCp8eDfesxXL9K
ZHcFJIxJYNu+hV6IXXx/ZTH+SEGzvIfxZV1OaPnxgcbYw/aJ+WwfgshcXDp+/QllOVOuVjedM7z9
JSC99TAhXkGRvs3m7EvjDilpb3UPOmH5DFHH3NTokMgQ6n7Xm/OwZj5izRI8ToIcXabeKguJ15mW
WXkuvzpoCNIZhzM/UH02dh3Gavfsz/ljNffOIwP95V6UQFbhpIodm+S0KjskVrFZ/GiX+sb0nAUI
g3HeMfTwVDHVfqwZ1EGzEVLKEXW+HX27voEJeQj9xWfT6poPM5M5n5zMP3ptUu05XxkXbOeIea1M
bhc6e4eg8QCe5f5DvtSYozhifIicMDp3ICHJtYza4hYgaf/NMGmArmVjitsO2Nw13OzY2ox2PPkr
lLTLFofqe2FYVJFUqbTznLhrwe3ucLss8aCOGT7izYENOiSbGDkwPI6pCfbUMWpMcGvLQl0zU9pE
KcT0yuBV1zZJyQU6yo6JXWW4D5I5lgun8MwvDl98084dlulJaiewWbOq2ln43yhqjbN5wcC5251V
qemuXBAT8w8MKhZj76uqCn/MgRyvclsh2SCzzbY5R61aWRRQ6iK17v+70f//oN1s5kxo8/37luNV
8g0V/VP5607/84d+bvU+DDdLC9LwcwvY1z127Z9E/8D8C6Ia7UIncImciBb+d693/L/YeumbEzN7
COh0VPVzr3esvzSQX0gCDE4OlNj/SbPRei071qeFJQgrT9JjxzHfKtcock9dk7fYA1MiI0gZIoxd
Dgo2OVNgZolFcRXD2L1MM/LLh4QJq7OpnuNarYAj0EHDt8S2NjMWaDh6uKm3zHDNTrH7S+MM5hGx
Ct402Br+cqf/IdXjFvwaEdscTw6ZXoDIgDkPWryvDymfMbI8VIu6oOwFl1v3/vAdIrgapHk9MrCc
r97/QIF7wtuP5Ei0YKsxUUVz8a0Ox0hypvf6KrrwPNo6nTTSdT4wg7VPmYprQJo2BkZtFEA+k3+z
Va4JcaGBBF4/hDu0YVaFp11C+L4MUkeoXtgvexvA5A3GtzSkQLGQFqPaPObMFSx7BLLVBWVpCvNR
UpIVIi8gTm5Uo6taADKB3I8leZKhuzn50gD3sRbmisqanCAFuQd7Pg4JCmmzEAmOLhDy1egxkbX2
eCLNuujavt+FuG1ezV5iH5UlWATIx90nJQoaKw4OwdtF976UX1G1pqNHGDomuiVm6Sun4Eo4fsp9
LMsg6Exky3drFW1kpLnTTXTqvk124rOtunb92aZ4g7AHfmj8YYoLrujUiJsX/KEeVIN/EkVhw7aO
dhpb7QUO2dK+xkkP/KonZ6/+ZIueoLpTLesvaomhDebthrtFlZQMIUVNH2vfmowvyNi4cy8tpLkD
pEItHV9Z6hUZPwSKh4/OATVEmGRnXJ2d0iBfT4h4aTNpGtFNOFj0MipVkhi/ZCcpfgNPWA7T+ppx
Lxh6xY8HjIkWmybxbmOv51ebLWD9bQJ0gnotk8Ptp3gsUdo4i1kU0DEy6iJugvHO/7B3nruRHGkW
fZV9gRTSRRpgscCWryJZ9K7/JNguvY30T78niqOZ7mote7W/B9AIGkjsZGWlibjfvefiBMwYKI68
5ub7aS75WntiTcYFAymmNbP6Slw1pYSnTBHsUKGS+zVdgasYrd5dzj0NzFE4zLeap9POkYzcvFZo
G96KMbXRrmUzsW/KfIPfsnHcwV2VPdlL4DThKhM1dlBa7acHpzXboyb80V3mSYDKPIuufAvJFlxN
AEOeNCLax6GvshvAhuGbibFwx4bM9pbEy9w3ld1+xgfHVNOYuWSjAbtvP/RoQ0A9OOOw+tLpYI4O
gygQQ/6T5tSyvTXjmbG06BHPF33jcnkxZXCaa70l27CRItQKtKKutgyKNGwvAgiZcEWaX4Z85LuL
yVIP36dkYhjKPwIvqUAg38WqivV9Vl+GXCOSSCpGZzWLIg7K15OlGo3qWoDEtkiHmWntqVKYM8PN
5SYFN2ValYzZpK5V8uUkM3g84pu1NiPT72KzMp1tSlvxhTBnNKxglGRweuTVTRKY441tiXrXRTP7
M6qkOfVu2XEUB0MUbQrcbf6acgjOC2t9xIsONwMj/dRsHtJ51rQnDeJAfdmajdbgqfP5TbLJ4vE7
45TzH+luy9O7oAcexVifosqgt6z93NtqGHna9zVty7kcdVqrFr5/8kOoZHuQecyrbJ4q0aGqgWss
TxcyqA++OMQg7mOH/IcJaMbmGxkHi2fou6+hIxay9Awvcl7AinXmdRLAS0D2pfTiy2kwGZFlh6+T
qX5kLQ0TvK5B2CSfGqMhXgzDOWy/WrBJ0ueGJ4SBGTuYRXNd5kXheAvs8wEj3ywEgmWmBn+SzuV0
kLXLd94CEjgmLeDjZw8UTPpNuIUJ9ZM1JDNFKLimeZ3z/plruNtJiCemYE1sUiri6Po+IpnWoHa6
qPlaHOqfYMBAs49D7whHwX8RfRcsy9m4BwUyImfnZfeIAUJbp62MUPwrZNkujPZW5gcrKwiwEeYx
tntcJJNYRW4udhpgn+GytBNGt89hZFPka1f0wtGTVSlqMLGQfYVd4EmKylxauQ44BsGefnbyZBMo
kzhibLYzUjP8nMGJ/zYiT4MHbYrrNnPY4zf1tE6zZrylIiX8JKy+WLMfstExpXUHTqH4ZNhRvjEL
SkJhs9DDp7duc+MzbcQPDMKAkrc0u4qrMHs0AQwufF22G9IP7JT6cVyq0Ou6zwfaObI5vxR23627
wc1ukbSqT2jv0X1vZzcDNv6E1a60N/VUA0pJygJreRmzB3CyxyG3ZbhpmGZcgo4xVllaz4cMguAG
xgYz2RryNDZnl8deb5UPvHSql0LkVUR3DV2FXqyXz5HjqFOLUL7wHIGbyXG78Vg5o8XSus9XYeDK
73HjMuHubHtnztSlQtw2jyKUrr0iDVMAlZpYDqwkBQwXtczLrZfVk1JTrBJ7wGhuQmHcJkFZbXWS
46uGz/iSQCGiFcfsnX0B66RfT7nbHevWDu59AjxbDWDSRmi+s9TYOnmbiRaSoxa19QUP7GmnF8W0
HzSK/OY2HYCXN82yNe1uybg82VHF6Dz0cT9/1fEWXLDnni/YYPjZ6uMVyi+LOaRd7GL0BbpMEXyF
Ev7RJl2XueUlqspzbKuGygSkXX1AcFucNtd4L2gX4y7ffXxUpWj/IE2yECPoIaCVOqx0McOoVdMP
CqAdzMzcBuEfaCCrXmM75sFQtUqz+vg4Z7a403EQ1xj+s9pDlz1T1vuodDrph8HBpnOPZ6reVK8n
x4E4eZz+/sFcbICcTjx/v+h4BvewFrIIPJCrw9hQRjZjZidbnoTJjw/160KW4i2P80Zq/i+SlTXk
woouQedgOZNxLMCabAV+i6X0YD9JRo6/uUr+4njwUkyDy4T9NnbGn78vjNzctlkuDvMYBU/vr6Ai
Ung7YDysRphScno//oxncxm+O4UE0LHuW2o0c75Yn/LQbv2mRWBxClZX7940Hqi8gQsyLURHHX6K
WhI8uRDDEl4fH/8Cv16khOAF51nho8xfsmllYdf6yMzn0HVwUIZBs/YkHcrfBJ7+8igMDlDDKQNn
Z/Lzqc0CE2AZPUiHEO2Jqk6UbNeDqfP3PwsbSo+IPQ4fXKk/H8VpLbNGdHIOPoHclRMTCTDH6v9x
mWBqt3Qcr3x5v4S3UmA3cQWA74AvCHfOabCnuGvjegpwkbXV2M+/2dL9+vzimc7ThI/FpIPD/vzB
AASCGmZCdNDKwHkxOi88zDqYmQXlLmBcPNWC40jl2Pn4hP76ZMG7S/OywacFtn5+R5B1iPW5EuYh
VSiQgEz5ReswQJkTx/vNvOQvPiIXBxV+rMEZE5w/LF26IDlUbh7GJspxfGEPnWWLz9PmgoFV4q1G
ddX8/c/ncAuiKAsk4vNoXK/HhRUR1jhkDrOBQtW/Z7pHF7quNj8fH+t82MetDhbAhaJNKgIywHkK
tCRU4Ok8Tw5zI30PLSwX0FBdPbujX6I5Esyi/wib2XgzDqzryKFOktKpfgwoXZE2mwugj1nIJMuI
JMZDWD5ZdOOlDm0YH/+qvz4ISXpaKuVjmcjt56PaIhYDhoyAKzyH6rCMg7h6TUaN92Wf2Fxqic+y
/uNDnnGO0Vs4OyTp4caDMyeJcqZahBl6Cf4CLnGE72Y9krnCo4im/dVr1NwnqgJ1vSexcaT/rn7t
e8HUzIp95ovSrLNtTbys3rBKirftZOBU/fgX/KtzwpOSawW8iq6fh+n0WkZz73HX53gmjmiPySd4
sdZBZlaBd7jWfyfj/HLvkehSdwNSDpcoFs2f7/kayzSL/mlmJqhciHrCvG6qCy7TsWI3/vGn+6uD
oRtB6yA0wuvg7GAe8UOdEpLpcLK74nP1L3W0XWiAesWQ9OOD/fIyUFm1E0jbUm+8c3pAnmpGBXdv
OjiB8gKTu+TK4kZkl/jxgUymTz+vwGDpkJvnjcCHI72gfpMfVmAZOOXRwbjICqKhgkZnD0fPsSfb
9DHQShp5q6RHCbFDm37FIcpHdiSu1Sxqks5U69bMSWPlONfgcdBjRbrw3b6rQ455hfFoWXhilWdx
qFM2xyfDcFsAGftdiOnX70dgnRAIpj4JcgIQP3+QGJJc5eZSHsx5gg9a0EaYD1G8DXUMwh+ftF8u
dBj/XAM0aCDYutb5M78NdbMFJ90cSCLjAjeBAy5qGptxG6oGx4IOi988GdXb64d1ss1rzfVA+vN3
RnW/fEvFTCC4boR9cOrR/uY4Zn9obPz3J0EEKC6qTj1n4rEcR/M3Tzrz/BLBjAJZwXEANxOVZSVk
/Xxm7QyMNaOH5GAQycvnFUWEDoXPeHw7C1gWLeqfaRFK7RVNVYY8wunhDrQaZstmiw+T5EQy3elw
GfLVnCq9pm4IQC3sruGfZ5frqMkdmWw7/vwbt520gj9piMXOx5mQIFzSyHgraMZ7atTlRdCd1QOM
eaM69M2E79105HgjBpXYkEGK7pciHNHVfrJpe+FgAhvRNbw7upHmtwNqw7FxWm072rFzU06GNm9L
0HkLVOwCr4hbm7Tf6YleLKUrOh9QblNdtgAaDRoQq3mAGF3Dginm+DB4sbG0+0wAV8T2VTNr6+pY
tGjfej+Ub9acFCQPMwNK67KrjMz4OjReiiiuEU9ZYs1XYugUptFNTwQyXFNtO5d7p0Si3PqNH0Q7
kmTsiop65t/ONQaN0+KzTwOUFz9T65q64l6LikxM31HLKbNNjZC50mJiCMpsydOUNRyDzg2Wsqy8
TMO6b28lNkx8qpXL3V0aeZXelbPyZTVda9QbACr4z3XTuySHU6Z3bmUQLYC7PKPwJmL+ZjlFZ181
taGkqCHjax4ptq03fHTxJmgYnO8ryor9NSEQ+7LnbKrYQ4c2F6ct1gyHVop8hQ6CckUxCEK4l08O
vOJTwKcjZ2h8nger2INq77T7sSQIvaxTxZP29cJGwokysLzXRP1Ee2fEWiRXAOMQXhkGl83SwIxY
LfG72Pu+b6TLcLelImamQp62WBXeEXPIFVQUPRsJ04WjfWkTiBn27zEU7Nh0rGKCQdNiwinn7Qgg
21zQ9IvKGHb62MAIEJhkoMNzgRURBqYjPt3x5n0dgGZPSGAOYRjtINijmzHOt6YLSJGAdVHbyvG7
j9EUSn4/3rxLcKRh+GWsaMRvk5h4O4KIvKXs5EDT/em2cihZ5wrlngEFkXhvhYiR3gaBsd4YQWYz
z4zR5s3W5jHeOIKrqPYcdmZRJvimTKk0cytR6W164sEcxujw76MZhvpvgbDUQiK0Wdt5pWu/5Qb2
XKhoyPOLij703cicfF6eXn+u0yEyRmhX7qVwmUcsUj0ekw0oWl1e5ED65m1eaUwassnmxFJ7ToIn
YRwe38qi5hcxdLSTTUVBw10B33D81I2uRU9j5oo0vfPgdHdXYsyMBydJaPDsmiCevnkak4x14tWm
fTsBf3VW0cTamKm3Ad2f9zFjADIiEXIF14rNNCflDm4t95mFOT4w4vEqlrLI4r7C9hsEcw64XcsE
tTWNRK2fMtISGxS02UOSSPD+5ro+IrWhkLceAtncEcV9f+P/2xDzG0MM8AW1p/jf56THb8N/XH0b
4y/lT5PS9x/7x6SUpMIfiDq8miAkOqxieGP/Y1IKUeYPXTAJ5eZ8n6L+c1JqufwQTVcKu+CifilQ
2Z+uGJqwTIVHs9DDTn3qf2dSKs6WczpBbTKBbIbJkTCBPTcx1olNnwW2w8vG7OLpzS5twXLOdlt7
rWNlLfyFNTQE23cxiluu7UsCZKJZ+ojVO96E+pax2/S1scIuX2p6JZYjjNf5Yiwc91vdZO6Kkgun
mWuyFyGvZkYTGTG6ezyjM72jEDpMs4IQ4xYND48pZDC8ZlqQRP61Dqrcve3LToGbK6dtquneKhqo
Zg4zGP2VW0Gh9mcmJzxPaL0rAGd52kDfhUsTb5+LCW0c7GE6RpdOX9SVdx+Z7lwO0LjRdcy1kdst
InqC7VE+SGxKxtqDbpfpz3HttnO3hXfumdR/6XmhX5D/Sml21esvEU74jVtX040ws4J51TQk/Kgz
afOnqtDd+B0g9e8b8Pc3oPOhJU3dgK/0kJ7dfuqH/vSkGX/Q/gQk9F++gj9vP9f/wyXEb0M3cBCd
fjIqiD90dVPoAE/QSZFn/3n72dgbUKEBFKL8CXidf8uocLYzoOZOOV8hCQmagmAZne3cjN6pe4Dm
JbQyjY1IWoTURtIofARE/zeVr9OxCJqhViqQgnGur/WM/RBijGJ/GmzNPaps0sFamzgDl3U9/24r
cr4xUPttXVF9UAaQoc63Io2Gl53pEMcjKoexk+wR3c8jIS9qRKx90dJfsrZGz3gY1ED4hwfxzfv+
40fH/JkgpT4sRUaI6h7fHgrRmeZWa+QuStkUe1xo7dccZp/DSrcnHa4s+wzp/KfA1H/3kc92X6ej
crYUdEx5WM4N1mAKk2bw3JxdgzHepJDBvjJ7ZysBQRrLwN/e7uHXYOfD24UjKmrl+c4y0bWxIvjj
7yINShg4MG81RapI3bMwCgS98/rxaT031tg8f3HTYE3xSfei7Z/tySdpgIAIxn7XlWNNYMoJWOiS
QGAJ7UFJQfvr0Hi8DEONO6XGXQ0t+qmo2MUro/lcLEJXunftZJrAV3rR9eAoI3lpjP74gn/4N1cB
9vaz3Sm/Lyl7PEVIMDiP1Hv0Rw2hyEkrJHlLUokcmf1A1lsEFzLMyHqEJbJkXofGcDBwA2W4O8DM
PHAPTndqaryDNuc4h5gXwz6fcAWFlkTwYFzCtSQDMsUnMYl25Dw69IB1cjjdihJA0VjOfkApXJ0p
EX40yHWEx00GbJUYjaPWuIhknQodV9qEy0c5TgKK1LLF3JBx/EyIrZpWvDbHfk1SyUwuGosYKeIt
S8rY61N/x6ZFe0Z09IO7uiGyu2+CRAFp2HBrFNIzwDeMb1ylYwxBII6T8aq1/d6+HYtpuKTNBF3I
EQnNXD7q1eL0IGgmhRsYe3as2tBCNktrcsVjUJPRTkzEk4Yg8vuWb+x7ktpMp290KUn5+7WqQBj1
hKyn0Yg3r8G89L5DyfsAH0PUjndaTXhXtJ23iueYnRgDsYKxpD++sqfkHc4gjr33yZfQ2QCt6Pax
h0WeSfaYfkFw3kxSdsqdN6CkdpzH0/bkFJfumAnfzfStPGElFW+nHMHJYV9bA/u6qYzZKvijSuZI
Mnt379dqlITsyyMcrN1VnI4sQ5KSzYQt+LDm1FdyKwcmx8BUpzSizj6I870yQ+XwqUzf69ZsZaLn
k9Xfq3iertq0Y5BANxvXSV849lupiBIwpLn5lUPeJ5f4ROswRgAip1wZY1ppSxu6+kVzCoNbVTne
dN3ERrB3TE4pd3f1+u6qCEnQ1Jt/WHMiw9p3UYIrYWCKfBcPNj2dntqHnc6/PbaC+b5HBXnquivf
Yw+6rMkYHE//TRsExTJHR+C5MUc7jc96G7kYNwf62DZdLbmAI3V7UHvC/k7KJAguDEkoYtnLoYNP
NXo++X7XaOjvYS3VgRv09OTY1o6soNqAcxvvK4ZiDVmhks6pDcSHaRFYGj9QZLGh72Hnu5jrKJBh
/yllG2vk3btkWNG/MQV3VUWYaRHBmABCEVFFdWnO/vTK6GH42k9a3UNmkHN8M0yaOTxLTn+0leyY
t9KMioHIZ0qilzzCsmQEuNBELzjP8qGygoiMEBm3oPCnjW/RdxXV436wantTeYl1FF7ZLTEg7QLy
MRdtWI4PTt6VJwmbr12bjrbA+S3dyHiROik8wrDOop1G41qD7Xg3RLUMF23Qi0+tnfrUG1pysJah
H48XJCj6ne2VYb7odLNkxVvOR6/pwq/0mJKCz2P3APTLOdL/QJatU03VBgAFvFijJkt6kMOYRenc
fvXjSM00NWISKy5u/2AHxCfZU/bSX7ClCJ4sItFE9TT7sY1CDW5/DTXOTY4JBar2rh4sHtmGq7ww
zWleMqVCfo2w+fULnsvQG5ieYR7DVRPvHI00/zAzMJvUVEdAB37KISPgug7VrlP0GPVOc9cTwaKy
jep1kukIfyMd3iDEh0+JcBQyhCxnggntmaA/N9bJIRfokkEcBOq9V/kqbYi5csVrtHxwBB6mOMHz
wMcIN/gnPHEQdPP4zzPBn095o2nzfsaZ4u3hBRO2IrYpgcTgzqEuBBrN5znshbNuivSQ+VVwOWhV
eNMAakB68h8ADtZPWdu8TTm5cS5B40nmfrdKOs7TCArFWYjKiA9+WZmfOi3oVChg0K+oDnLv0f1T
djf9sBd0KvQra6iNpU+l0gUkj8bb+MBrrqEYjN1mts2nPPKqFTB2G09YHg0rezJrFy6qLfpFbgXF
saCE4HNmWPz3FW+s5lFEoCU/+94QI2nXVVBuZg+paWGGaWcvMQtol7Rpdpy6PKgWM3Hul8n1yl1M
D+C1G9FnnPCRtq5RNelyMgP5Sm0SaxEF+ry0hlhDi+v5Wmu6e9cxXSA8LOwsbLBEymk/IeEctXEC
WUCLSg722JFf3xESJ90/pSYXB2zHlSJDyL7UgqhLqQsLWtUAhB7fKRu1Y/JMT3z+nBPSgtYy/1IO
fDXLLPN5DlIdz+90GifHFZ2HiyhVo/TRCv1L8uwE+EIz5Xnf9Eyeox6hqMcTgwAJqP3SrzJK7j1F
iEt4meRLBr7gXiwO74iBsZI78R4nRxVvQYnbb/OU8MA/PQJdyhUaJE0VMJvg3kU3pDA8JNJqsC+H
rtO37olOQyuW/FpYtArj32m4IuBkY9BURC8ZC57T+UnmUmUV0SprYfMe4gmW+vb913rX4eooYSUR
aEroJdtVXtQZgIoTm6btWfvmHm4MY86grZiD6eAn6hQ148qA9mYtdZpAXgezrqAgCDXxiPOKzzr0
SnEsKGB27wgUZpK3hdPaTC+yKFQZ6MHTe9elHsvGH5DKpCa1KqZ7Zifi1YkMHqxTA2tnqJoxZlve
JcoSZgBHZI888dzEo2WDAZE8F13jPis1/VB1kfa9bQgHRN3gj7TWqPTbicRiMvcEvpyhIyxrn9in
RWdYtQibEZWtcakB5TeJMfM1NU3zCxRhXutd5eGdzBseVfdkELxLSjz5mk6CfCb5GjWjZtfQmvRx
6SshKy1eZ54IdNVvZgub88TS8t6xQKrd97R1OtUyHqIw8u6y1MOhvEqBGVkgZEPCxhvqXrTQeEw8
VsvhdhxaAbVD4DHWS7GOdTtIqa3J41WLBxtD8WRuc81nDeKaDH4hoUInylvSJDiA1/yvXo1ECA9Z
MldXfP31XenxZElhCL2Mmh8fNEKxC/o2efVMXr4LTUIW04jhly4bweeoHUIz9IYTMrqwJyCXdW7d
hh6PdEYUHUJ3iOY9GznlLBCqSxiVi7DNjDtKVykwYxmCdtE30DZSViStk6ff0ZQFCIQy2PnYbvHi
1YDkuQOHJU+F70VTf9ey6dof7WHPdc3CoKv1a7+t9GvAGP2q13Mc1FMOfUXUa9bGAeCATiXsSSAl
lKmuR9u+tvXWvhrNrrjl2+a9XIzZgTdfvrUZDmKCsVqQis469LOrLsV1a3GqrvWpCh9RRLvXpjSt
Y9nnSbnE484Ccqy3mZ8VuDSZAhh3rPyKtQmC+rtgxHiwrN6O40VOD51eUGAx2KAAtGT+JmrGgke7
4xbeQG4eolXe6VnJQlvrkdd5A8vFhO2IJ0ik84Q4kXzcNikvutrU9g5M8epKpiSrF3nE0yZ2VJxx
7gO++wCqs7yZ0iGh0ER5Jj7eRqldx48zM+anLhsOgbBgIEGcb/vn3kx83njVrhKnRT89lyZVOVyJ
Hx/nl90PB1L2D0Ow7f81BsGIpu2Ssq127zHSjnTwQw0ngpY8RfBycFcS41Srxo+P+8vWX31AXbky
2JnSEn2262JLnllJOVa7Mcmct1bDpZvLEZfuAMSKmU5eTHeOE/Esrnu1yv346ARMzs8uxhd2xdzg
/BLn2d1JJqgnhlPu3oMBs9eYDyAWyBycPPxtqHKm5HvZlqiVN0gXHu6nX+Hfit1vFDsL2RSN63+X
zB++AQcF9P3tR8nuHz/1Z7aIKJDKqStQIeran3IduSLGvER6oAcy2Obv/1LLnT+IadObwCafmgFs
gP+U6yz7DwwpOK+Q0oWHc8H+O2o5ofTza4sZvsNwEAulg3Z+LqLBT+dpNohiD8FfGtW2xw6e9GvK
+gYM5jnBqIWKUg/Y3KF95CQmVoYigEAVc3d1jl84EIHM1wRijaNU1JBR8UPgwRarMHSkWA4NPSKh
M77kPPTr1QSH/M1XHBJTEUk6XwzsWKCUuIH7tSsquCUWKC0RF+GKFWm9NBTfBHZHBzRN1yH6WeBP
ZhqgNlQagiYrPJYGyVS+2FXNkI6x0r6jQAuelLPpJJtFve31ZZ/E4bWhqCvFFGcPZmTh7O6lzSsI
11H5EhldvTV7bT7IE8CFd5vzOThhXcYT4iVvwvCqbKb2MWVMdzkms36H49tcFRmifmf4V4Sr6pWX
h+EnnrUs+62039Go3K8otuYJnOjNlnxPsRtiVruKRFNWpbsnDVNsHC1F+GcwcA0c/RAW6UqAZb3R
vID3D7C8hTEN3joL2TJ1in6DcFGsh9rWlzrlEZd+Mso9c1ONSt7ZwHgbaYdMFhUD4Xpe0kc9r2Si
l1eQ1sDukDdiFjcM3YPBCnVtAli4DAnubm3AfWRdLcGfKufbqjflFTkousqA/DiK9jOlnbOmsIDd
ppvK25nBOK8nJ9s4yGcrrYIZZCt6UAdGCNTeJz2P5daorGTX9aG5ZQkdPPXUBW8SWlW/ejGZ96sO
lOVVKHKCxidwESYrwjd51q/iyPN20mmaDavumPQa1COEb+gFioQE+cj/7DXF8D0kbrGZ9QKkVR0A
fOC+sW/taZDZ5ZRUAPSN5NEby+lNc5huLYpZ6FdamfYXnsZrqsx12D2xD3yoClWfgWI4RYrmFCiu
E6Xt5RWP30dm1UCfNMuud15XprcYcrQDjaD9NY3jrHfIFY20FsBLW8b0Wrm7TmMAtWmk4oRAMAI3
NSvylEOgODnBqOaxsTaRIlSZJ1hVrbhVsLeSZTH7wKwwpuOLyMyO4f3AO5YVC2NuabAOGs05v9E0
fBsC1TLqivqqccy3Mqvd4LKGdxZdYIB4drDgQzAX20DzDG0v6ccOzG3WWuCoUMpof/vClryO12Ew
zdcMx+WN7AhlfPEL9heXNvXxhdd2j6IarZvG66KmW2ep+2AHMln7TQfbJyv8w1C6Zr7AJgwVCBd+
hQVCo2kHfHUf7irbTZtHMxsoq10JPS1aFvmOW6IMSOFJjQ1HYhJUdh3Oe95X84aS88LhrRoG+uuM
LNAudThgx3oCOP2s43CvQZQyhr8tRr8LviZBLclpzf6CJ9wiMmyNUV9X3nPlihTyI5Djhd/YRroc
e7U40lvIz64WTLQIFr1e7kWZDdqi9DpaGd7lqIDAgX1FZ52SBVBKU1zaXCn6ZIR7I2rZzxUKjVO0
rv11sq023ZpoyNXOnWoXR40W++miNQKyMoVIOeTMNhTYniJLWCELWXa7GWqZPoBlfHcAtGnAks70
1VA8D+PEWvSxX5TXbCQpxESFriOrvWDWKPRVWUJnDN3RBXcZFc71yEZhIxSKktwCyfFGcI6XDpDA
B6Yu5kXDSLNZpGUDaWrO/YEcpOVcFb5d79PY574fRbASaWa3S7OzXMxBZrQt3N7bllGT3hRmdjmH
dOFCFxfl5RiJ6CJAAd+Ug+pzIl7mclP1MTypruiMRZs45sEDKCY0ojXcq4DIjNCJ1w3oLW3DOFG/
x9uTrB1TzsYSQVMDlFIUR7aw5Z3Xu86xZYz0KghpTQvToogE7QYmeWOsoIiG27ZpZ7Jvc0f1Mixt
Ksin+jPvqOao5gqsyQLkoT7WvYWp1/p9ONOJi5TrPQoUs1vb1gJeDkW2z9Dur8vWY/9CufShZ+/y
ZTYdcUOyZCVdJ9zz6Ax2QLv0l9SlugExxXvtMU+U6GFmtUugT14Qs5+vkFi9Bcy0dFUNU/IJf55x
EET6j2ihm1Yr7MXY6jNNJFZkVGxyLHudTAFVmn6SIGn6W5kV1SP5tnYPdbzbKkfEVjDypYDTGIbl
LEmxD1kZXZPsEMmqGU3vAlZhBePSEiuoBcVi4Pj3o2+LhWkA2g/NILqppnBY9pTVr2mQDbcOH2BT
geUEKDbYEY/G2X6xQATyLqSF4o3pcHtFBMv4xhy7xGA004JjBMbOkbX1THFjtTb9MlzhUAo3iLUV
SlSbHVN9qJ867sMrCCrNDZN5/5ItdrGcIwbxaTQCM7Ki/piWgkCsmTm7bO4/1Z4dX052FD0HZacf
g8CAMYxGxUogn7F4eaW+JCqjHyXx01ZV1no3dDuNW9qJmjfPLZa1dNKVNc7tLSHTMV/Yuefsc/rg
b1MgvRdGkpafB4DMi2rM9XU6lcTM9PA5aAoHAHGus3hw0ay0yVrH0Di9hW6w0wWPsbabsLoScaxf
WBq9EAve/myONata2UZko3Mb7SNjeliVnUS9oaR7XPsUIKHGj46/rJnlLcEwT/GiCM2WfTCVAQ5o
JMcI+dN0+vwsj5u6ocO1DJgdmKPHmgKmK9KRnijhqUn9nLsKsod7b8GcY6OMthyH0YN0piq+/ff6
/v+CDiDW/+FA/r+b9K2Qb/LH1f37z/y5uPf/IJzj6CoLwUqeqM6/Fvj2H5RAECMwmYgzfPfZNf4J
iYFSzo+oGJZO1Oa0LfjTDoO9hmE203Nm8azHYaP913/+VIUmz/7/j2NjXn4/L/CpX+Mvap5cwDOY
Ys63rtTcm3ZldvZeZB5QXaHRRl+0/XYOovGQhbXYQXmm3rgchumrAMRxKVK7xpJmGMNdyY0JZL/S
3jI3069SGAn0KgeWMokxh3OYiKxCabvHKOvl3QRT5oF672ybIlPsWfQbn8oqYOGauMkB5+u6nWT9
mUI/mOmax0MnTqi5Xsiumr/oVcpTOwgdihGhWd+DeEkPfpEVuPisbNtZ6C5jW1yVwoyXfhag4CZs
9g3mN5C0c3RU2NnWytRC95DXHeCyIBuvoT9nW5jI8AYkyd+F64zmLYXP/tGNU/3KmGL9iroWfHB9
aYHRg3m7NUozfDH82IcEl94YCEZXATH3WZ/oaoMFwLvf9rWFXlfWd8pN4D7ipiR1S2Rg2VB0d+NP
hg3hEFIAiKBRLhqlaotMr74OjGVQ84Hq1DF2RozT6SPEUqde4HhMtlU+Jjtftu1qsAdw3u5k0F1l
ds+lFwfXbRcNty1a4xf6v6eXoukQ11Jv2lkQHXn1JeOtYJ28pLgt3tSB6C700ak/51Y3rvoidDdV
n/XI5ykfA4z0wk6LbNcX7PPq1O6+ar61iBsxLS2/ujCLEA8h5SNdzEs2hR28kiK4ytMq3xOJ2LMI
TFdhXc7Pdt/U25qx+PfQT3j+JW1MKscetizGgr2ZR/kNPaazufG1JD1QfBloa5y63UVlT8lTOMX+
q1s7+TqJneoQVM5wX/VD/eAHdnw1wzy6GqQ+AlWHy/MctLa8TBDF7rF1VdtccScWQ13qO5yLboLm
a1m384RfKQRKtplcN8Mtj9p7R+OQwaKtZQQYS6u/JJeh3/gN1wrtR06wTGY7+9KNY3UMHCfbAZKz
LhwKQjFVOvFr57nxC3I1sb+wEre5l827EWjCkWZq68IcRLlr4E1cI1bLh2S2fHBhMtvnWrevimAA
DF8I74jgbb4WOOGuakyf4LczVhCww3Lo4jLb8D4W11k1XJjRYHM5EgHS9BZgZdi+RZ3HtHEaU2Nt
VoH7xhQYuXDM9+FUMW6ZKGUt68DevBsmiF0/WXb6BYB5FS610DZfXa94KHtrfgIwN23ZK+m3JWaA
AhpxoB2ERs8uG1ZPh3aJ9rYcCP6/yaBJbtwwrVHXLMv/EgdkkXgj4XmY4+yRHDCzCwaga8Zt+QWB
7nw9WFa8h63grDw7y+9dS7afiW32zaJNjYe2LPYhtQeHcqi3VB5TnO64ebGIsyS9JfaV3Ykg2znT
0JLFmIu9neblSgJ9YC3gW69t6cd7V+RQ5GN22oDiRoaeIEUrqdvf5rFGf8WUzKJjAghbifTFxU7y
6NKKdVuZALH4Ql19QULOXFF1Ut1oDQIeWauLuqG8esmkWLRJvg0kIzH6mgnxZLd9EPQvMAjKVYpr
/zbRQ2tHiYIul9lA9wijneaLxbB0Edj6atBHd1saw7juM6PT1hG6z0vLpqBagOzPCOa4Uwkvfgqv
Z1mmW6AuQDSmSbjL5rRuwO1XLtiLrTvgdyxxyw5zge/3j+E8seqAaF2tsv9h78yWI8XSbP1ElDEP
tw74JNc8heIGk0IhZtjABjY8fX+oqvtE5TmW3ee+L6qsrDIj5HJg8w9rfWsrRWDXUkcEotevUsHY
F+2/HgP2+FF81zFpSuGWV4G34wTQw2AreCpM76U/63jKBj1u9QIb/lYgVVupBHcyuHe28mn4rqRW
UEj3udTKyKPOIiB9eHe30qvYijB9cKnHxFaa4UHSoYRt9ZrpV25MDH3wEmzl3LoVdv1W4kFf/xms
0j3yRlzDpRimmyG12fuSL3QZCrcJ8SEEl3q0+zu5FZHFVk5qSV7dDGUtUMxTbBpb2bmi1YydrRTF
dWAe3a08ZaTT7jNVmL9XLx2v562Mtb8rWlh99o+MleKzNA0qXjcvwbBuZfC4FcTtVhprBkUyXggO
8a1wnrYSWh/56pvMWaNlkSIetlIbvxhVt9oKcMujs7VKkLqBZlOfCx2vzYLw4tCgWQZWvIrnakwO
uUGLU25FfrmV+6AedRZU313AuDUEDp3BRv26MRiNnANC+H7OnVlGM4vY3WTwus239gJhDn0liK4W
bk0fvJWum0d1M+s/wOokR06m7JRIM1q2xmUdC+0XDTeLra2tqbcGx9haHWdretyt/amYJD2ns5/s
ja05yr77JKZ+Wrgsmru3Mo+FKf1UszVW+nePRVFPv1VtrZdCrh1Ru0IqGLQrp9FNItFY2SmCrdrZ
qYEwN6POdqPM9Xt0FD3v/qJIn0aHQgRVTlctYWMF8r5Lu+rYQvtgliE8MI/r0BO55CV+9xX0YLqm
KiMqQM3aJTfrePGb+m6amvIonfHN6ZmOcNZ2RDNCVvwopfvm5Nm7noxfXrW++a16aIwVAe+KMaGx
OtREjbfELPCezC4VZ5F53tMkSvOlJOjp1yYreu0T/iAiF41bnaQEFu5kVeT6CINj6CZ5qFzVre41
pRZ5KTvYlTorNrNFV7zFs14UE9BonNXo33WyW9wfg5t8MQCy/GM1zVw4bclMsdemdQqTVj+QEiHQ
7GeihffQae2b4ACl9gqmyFBJue8gw9VnVJR9xMDNjCjyyisjXZozXh7vzVmc7idRa2lxx7CiuvIy
QMFPwEyy5FABkYCIroZ5ZVedSqf49DM1aM9OlygnNrIJ2AXCoLI9dfDIokbTlwM72WY/ucPr4KUz
C7q0ivSFKylT+1UhSTm6ufBwwsrxhn9zs8NAoh+h3+S9fYG7B0RXZxG7K1PeMpo3aUdqkedmzao4
Q7HK2ivQHgkjSS8gMo2QAfByM7HXvem5mudVznAA8/kdhcly7jea92Br9MGNAuA9buWWtSKxw4/W
X+X5ifym0nMXzEuJPPqVxUS1I5diQEQZLokNgxyPCpyP9LTaqTyNSZKc+9rMz1KHSGdUEBfQEVyy
xJXRknrdz9GCGuArZzlgZcr3hYRmqqUQ8Pu8auM5sQWZZlnJiywRTJu4zMdRF4zIK7M+OHqifxFv
QhktSpGzfWaGb3y6PsyU10EfCc36NdoeErrnpLO3vEVirHP8E//bxP1Pmjii3O3/Zkmj/r2F+9ef
+FcPF1h0Y8xJCBdz/9Oc8F+WBlYx1qb59XE7fndjf/RwbAL5R9iAN11wwLLyXz2c6cAApdtiRfmt
TqYp/EvP9nc9nGF/O7//2K+i+HSAZBPbyzaIGZa5bQj/cI7qUtOmrmV8wRuif50029sxa/3lK7O6
WQ2tizPNGHaq3txjs39NkTf9cKeiexSt9ggJfDiDwcp2nb+NqtpROy2J5SaHiZzpO2bH2jub1HYX
uK3eIedKvAyUoZkOd43nLBYTs7xkvgvlyfBOq9H75k0AI6t9HogGQDOllWtrHUQphbj2KUk8/AjE
BtFicJrJ2sb3UxY2/PVU99DHkmXSPZMaL4lY8Ig7Mc5ZoFy6EBNYUexluj3ss8o2xVnaTEsQczal
z+ZHsYEK0IoUrDi8djFf7CUdmH6vrdE6IQgY5R8YsyzOaYSHoLO2WHKveGLOq42bNKycugj9Xfte
NIn/mbrF5hkzB+jQ8ea2mOjhQMfrj2rtCxFJPsJwKFVrXpE0tg7h6AbMPQGuMoiTnjPsMdqxKVtp
nsmda4tjTWbnm2pyDIlVY8ljoSk/nhHdvy0Tyg7Q7NkxH4DwVBVGSjKDrzuzaY+FOb8UbW4dCjnj
wMTLdSznfwYjp9krhwlz3YV2GiXQdWv3ULvG8XVI64bTd0BgoDIQdVMgKF7cX1IlHN7j/EZowRCa
XRCWyjqlqnxRGC53S2DQiPv2R5q3fWwl5fiIa4VqZ9Vq3kjmC7E97Q7i8nxAD+jtfbM5sEB8mNb8
xa3MLyLd5BWlKwP1Mr1hNg+IbJRvbT2c66ltjqXMRbS9UtQK2GlYhHslhG7s+269y9KaEsYsXwQR
G9HYa21c1tNvN2/c69rFnDcHLTpkXWlsS0bySKwkKpexPNiTTWrKyp6lsNxoQpoXpkSehfY8ZZdk
rPprX85mDOtAP3ltnu8btTo7ZBS0AkPnf+SjOR3qyck/fJSRZ9UvSywgczykYrF3TZH+TqykvXU0
+ejIXD029VIdEPczu4OscQSLSzparmMWbBdG1Y0z7iX+oxPnQrbvezPYp7Vjh06mBYfJnX+3DvEN
MoMgm3B28EIcgbUmKv9o2Vyi9mrqGDg6Eki9HpjlW/VuaCRJCkDWMLhPZPNS3O98Uz0ZFFhMD0jA
rpLTuiIDrQfR7RypvTpLou+sUhXnrHOCUBNkyFoQyn6OqxcWhiRwhIUL48jO3URFOvmeUzlCRJQ8
8WPvdxG5JtpXK92GVQOqC4c0UV9Po76Y1oX3vNKOlDjjw2JMiAMruxR3KD/o1rqkz28E05y91eY+
9FlQT6GB2orBJG2B1I01PeRFa56bMe0R0FuSn8aNBRs+meUvcAlIwJJpuivm0kCZym2RBjRMO1+p
5bMTHKpx6tnLeZQ5KR1yXubgILm1VKgtrq5CTB8sdhAByS+DoK+caNNE7F01jhmYuYEYMuRn3bqz
GdHMN6bvDG8D65HJxJuYrXtjqvWrrAnqw5z7gtBczTwgXuU3K2dE/oV7IJyKU0LNJqKxVIsBeRGz
K9ZNZNFZcRKsG98hIf7JX38onPIvXi4UsGPtnUfq1VxzHU1w2SI4kmepdTaABgr7vkL33mj5ZzL4
fQSdLn+p+wKBjyuc/Nrsl8lAPQhIbTVq4w6Z2HNXmaWPftQKLsKu2rMRyD0kpOkyAWB+sLeKCj2S
926i2YvSMkDtUwcglOGg8RjPyjShpFCrLViXr92E3lMmcohSKeVNNWRtzN/TgJTbyr/tqS3txKV0
IvIn6ZCxaV2VoRqc7qrMzuN8GY6zoVOVJ5iIeZcA/l0St7mfreWNSZZztKc6+NWbw73HJHveDaU1
HS1f/nCxH+9yXddi4o5PdmX4UTnCO2VFJuRX0iLULDSpXS2jkyH2Go0NvUw8WkshhYMu3Se2wXng
Lzf57Je3q6ZP18yNCtjxI4pVyEQ7NaC+mjzzW8KeHrLABns2m2jki2LcCaM/4CLoOYPlNRIxZvMM
7nYbbIaQKgJtMZw7O3funR3uiYcRAMWuhP8YtyjAKD/b4NgpddCWjpwnfYJDZ4CABiRQ/1pEO8X6
JhEbDYJT2a2QGoP1m5mPbw5PQV4EkeWXS9TZVRCh/D8FWgDkURNfqvOeEUi38RrM414fBOCGhQ5Z
s+02zhqV7cexVmet7D7JVbiuZDJeGYqJ1joTbVCZXnOLP0S/mGobKugLcce51E8rrpqjBhx61wmM
9hNR5yhE0UhoPr/zWBa06nXJede5P1eGmmx4PYMdlPxptmV55YiEMJ+lYX5qzcsO67hx4R7AOpDb
WTiX5dfoVsFeifUnuiMiJ1fGaOgvmA4mLfEZQFk4+olT+6gFPbKOHPkuKc0kZLI03My2P/FyNwW7
2vStNZwvEXS/bZlX+8qhYJiU/Vr3ZMAzEkPKvOEB194mE3NU8qsnDC0shqKMbA5RnCFzdkckZnEf
mK046b65XjAd8zV45c+xTvSIw7Tl1M6nV59YgxBj8mOeM2+AIDji3PI51928+jAbkNm1ubSn0a5d
yOgeTSpW0T3Cq/piGubM4Hq1GXYtH0OWLLvJdD0GBnyGmRSpWA86/2XQTTp9a2j5Qtne46uBiNfw
hQk+/iTL4o3HvpTXmyr3qWOMtZstfXnst8ThCqChVgXp/UgO9J0jk+INpvcjcrQ5bKv0xkbxeMT9
kFqhyoptBJLwRWd5Zj8HTolB1CGEZpF+bK8J8/OOFo4rPZH9tnb1ssvdKaDjas1PhyRwJ1q4zjtT
GO3tZKzyqK/KO3rK8X/O5aC/jTqpTiKRt6tuaUU8Tdl0LIS0UFS6E6LeQjWcrAIcuJMtYWBOAWoQ
x+GO0OuHzg+cB4JrBj3k1GTSy/TCDB17qL6G3vJZgw5FyjVFbLdlGPXuQQjD4ZFpXMkQdQjWMRyh
tNCUWY8iX8bQk/rFx4pBPx3oH03anauZbKCoaLMUfrn1iY7beWxw3P0y0kKrwxVr2YaQHNVJzOy8
d3mZFWNEa6d+6aA1I9GOw+M6990JhKp3jbq1OpBndbe67BpaT3rIRs1WHWFVFNzO7uR9JqmHgcQc
PLSlTv7qiN6+Nsbcifp6rmIYsYLQMbFWUd95ddxKq33oLbvPmanoww3rDNLd9ITu2JNiZI7V+7KO
UFsst42fV4fU6It94s1yv+kMYsHnOki29oeCHXh96Lwqf+U0K195xY0/qlnpj4iQkqNOjtFJd2Yq
3qRzz10zIezJNcAcxCPN1Utq5sVyNWkL4owVhkpAZiZufX0uY8F08IyQYgozIK3lTtlbeMCU6hiC
h/5erkq+6v46fiIJn47+0AZXbVHIWzvN+ufWcvqS568tZGQh+i1rB8Uh1dX6Aj0OeT3twzA/pQYn
bEifNAbRGggLSH8llinOC54H8Ir2RtlNKvd5hiLv/kiJb1yjyVe8Wf3RDngQeyXRdLvE4Nil7bLj
KLO3yZuZDpAv9siQA4/SAFL6umpU/oaGqdkzD6ztqF5VdRpHwPkFvFN/ZxPV6u+Geq5f9UQl92zW
G7CsHK99HTzONbUxmITxo6mbNtIyr9gzXEyhP1KSVs3UIUeGefdkgOXZYRMyDzOWoEvBCGrPSCSL
iO+tQqGt1bBzeuHsZ1wu93gh+j5y1qRm45+X8VQY46Vu1nFnm0VzxFqV3pkYeJYH3yv69lalhKFG
Qar0zi1DoFQmxQLczS0HkYypb2M55Wa++cxLr5vtR1LFvj3o49IiuBiORZDVbES+HevM6zTEzxi5
we03fWQNGeeogi1L6eRaR5m5zithnvUYYZgnVLMveRY/8IEmEWi/JL3k08TQjlu4L2LmOxvLY0SJ
XJKax+lDaPtlkpo4Qns0HlRH5l9tdNphddwsmhjpnru5F6eeexIeiJVfROHkYWKO3lfdt/YvvSnx
jvR5L4sDErunoQyS/M0A6RjWdjATDMemwR/W1SEk3fd/E56YHt2xpgQ3ZKaFbNC8l7WY9Th3OZ3j
gPDb/YCk5F2nsAbLj2+roj9uPaEzlLfH80qOw70QufiRKbt+mGeDwZOA4WLWtoiczEBXb2S1Fafl
IFH7JFQHHfQdVU5G2PdFe2Pb3QZSMezngSoyBggWhGtjFHHKu47iHP6rMnuWNpV30kQzRS2N+4NM
82DfQ3h5d2xlH+uyh0VccjIB4vQJ32mzQ55aU9S3m5EFtDKXd8jmjyrQpkNl2reWyoJPvelvJz7J
rpe6iY/OXI4d2XyUUmN6ASLq415A2x9z33R7ETDo65aS/oabUmcbmWdMseosDkDY0Y1o5c+Bmn63
ZT8etTyxIm3mTdLMbkOeQyUH4AfaEtoFUKk2YUfVBJ52K611eRBzdhwVnFpFXFTopPCHqMC1Kq6W
LPsthGtfg9/NOWi7lIAvjWd34OAfRREuVVaFa4+ztC/lxEtnXu6RUwU3k0rLuGiIeCvd3ImJZuPA
HNr2nOvGne/X024YMEDjr0jfB68poqZdZElh1/k3YKJ7Fm6oTo0qsXdFxa7oW65kzZvvr8bP+gYg
+q2zSIXPUDWxlDV0CDnTp46n+sgiaz0tRHnz/YGdRAkjSVAhnzpcSovpg5e6kbtW75jnsxiMLrmc
jfqBE/wqS7Enr91nU1Q/hmLa7rdRb+NREn6N48eK3S17uMIIey5yENfloJJdnepuSM1sEGfI9qqK
N4PJmNqqu7QI37hbBu8A+cULTfjOlypNyzvmD7oejTZjx3gS7J0GSb1d6GgCu238o0g7AT7eVfGK
i+aYFr7+e25o0QpZTEeoEGM0a515X0jiX0rR/5KZkmePRIud7pdEW7ZjlGWLwLHmYmIxtfJsevWE
wDNLyUjtPujXKMWWJl8iey3qUzOKqQzTaVheJ5kMO+Y91xaQ7BdKqadc67rQ66V3lblY2Dq1Uji2
rCnmtSNJatT6qJnGn4HRXc/GYu2ywnxpNI68YrIxLbqYdDG5+q+weeodqxxsgLo/oU1LnKe1LbHn
raV51SzZJdeaN5Z6w3EZssfeNb5A+VH/LVRHbGqbx6w1seoa1QkUs/2JMgEuVdpbkdDqF0Uw3JcQ
tbbuU3aRcsfUg+JbYQnarW794LOrIZE4LbDBCj/5OeljiY9rmnoGFMv8QCDq2qJZTRLGTnKe985g
LznFf23Q4ygHEYQVPDQcWHInLAcRH3Q3b9z5fSZZtmygcb3sz4DZd/Oap4pWJ4m4VMK7LgsHxLOL
CAkrDBncUKFzY0fMaUX6pV8ZQzzqmSC0xPVP/A/+Udn4X2ZqPthFy+FBDOc5EHp5XhxeroY1/0pK
gb65hPgdo2ewd56HBc6p1HnNPWJQdeOl55UUVoYk/NzcZoGiScMlGD0MRe7moCSONskN52A6VMLp
YHIkuKrHVlq049Gbup+pv54VN3yIxlI/lal2nQQDtQ78+rjovDMLeLknOsyLvdKtzsJh/NcFLFIb
Sn1WjArhh91d+nS6x6n4iXSYOz5ZnDhQzX1niyZiMOOdSFEx8eTIjC02a1dvrbXb2bRfc8MermSi
iWju3TxMASEeMl3A929rA98GzVnvjAOYhlRnciFb1FjkY85JcD9qOmO4ZM7xCC8/y9RgciYXa49u
lbhOaX0kzmQ8zr5TRq5a5j4s2HX9dgZveuTsg3XqApAh+3g89x3DKN0oEK1rpJX3vsacJc/NuNfL
koCJ5tqW1RAmq2WPkZnPwRh7qVF7u0LPynPH+9HA50Qc6yLeB6Nt3xw8BXVUauv6qzQzVNXGUmrv
rVv3t6A6tWPBC48cGs9TZGMW/cUraZGQFRUZgNL03GMzja16WT6os3i0UlG/54Xh37azlVyvMiNs
J3e/0t5YQNCDgTl3jKHvV2UnKGq9uQlFrs+Ip53xzjQze73pld/i0fbAdTMFJUwpkIji1jVw90ab
k2LqlrmKhJk3yKDXRexzYWb0C4l2Y6AumUKHl8ExT6anJXWeqRCcxy5J2z12NnnkOVhitx8Mmiv/
ZQZ9txNZYz6mhH6HQ2bd+saQvNeKDJGiTvyQREB04SgoSu1qNilqLqgoh10np+yKGkKqfer2bdij
LRlJSeb82blSF8UhTWa1DYlIn5qZhVHT1FjZWBmibLfmVhCF6rb9Sy9sxAGd7xN9RBwCUiidGd9C
Ynu4cC5g81eBdQM+T3+a+AtQPXTj+jqWSPV4jFEKWQyot+SfZbi2RjFePO4ecrHFLA9z1+SXVQgB
Ip0BDzD/MaViQvxAHL3E/9bLrRLilHkjTNT7iVmPFVs5FvIofJhbnaY6ilbfxuOZatUUQgdWj84o
JMMnvRTEZi7YWIWpBS9Av8i/ytIijZo0SRV+wGV5WMpJlaHFgxavpP0S+D3QeCuTVzQlaC2iyRJf
M+U1aoTufkElxpLWZbVcsjRzxDgfSM/u7lU6ma/oWBrU3TYH9to7xt3QtQTGVt3kPwwwwKh4Ef/e
Vas2vWp2Pp6trGMuUyORvCb6Qr6CDdBvdHITDqYgi4fmdbDukYd7DwFCbQyDRGtdaVpmfpCSWJ7l
4E+PpmkxDMW3x1PaNhyru9rxGxByA1FZuTMgxMdcxxtrRJKLeqwP0uKGCT8uchzCVnVVGObi7KU7
O1zpuogT2acs+cvhbkXURhLZIsx4Ixg86WgLzgVC9hDI7fJVidp4S4yBQm110YAy6ehvsiBAEpcW
efc6uk67nwmTitLW5mXGLRXR7OSxnsJeFBpGVnyk9VWfKO80zah8BErWizAanLIojfVLC9XpWRYk
lXPK4vjLtNkOXTiUHCcSOUvZiRvC3f1jnRlpPEyrOKCTssnmKrlLtH6W135VWz+Y3pKg3c7iSae+
u/RtN+9HSfXPONNjSqNlD0tWTKEPQY6hfVuEqRjq61EGvzQic2IOp+ToZo6MNIJfroOJR8MqzCzO
O+tEbLp/1ygX2sDiTGdX89Z55yZVZEu6jpGKMWTe3J8HwnOvYYSUF0jtH42vjBiCtL4v/OU9Xeos
NG08c4lfMFY0kppZWb+8aLmV7L3eyGJhIvPQuNEPGQgLYmEW81QOEDbCtmwWYmn8NcosZUSuoXs7
6bTUsvrav+WVvYS0Cutx6ZWLsNYYxjvfIz+EQq+qosYxp+pBORnWkoyXTeGULUEP61ReNK8D9Mf6
hhkrmUtLm+1BY4K9AW/glCv/v55AdVTL7UwMJmyu8iUYzB9WymGN6j3ObWsFS63egwbdf5Cy8Jhx
8UYk3OsRxvh2bxqlfZxtPKZpAeiD/GlAZU4YEJW3Q71zCysWyXvRvYqhK+7cdMTaYx4prORhWu3p
p6ZYg5iW9gOzpL7XVypk1Wn5QUy8qJU/vtdB0d3PY3c/tma1AGbwebUbWyNIItotzrIlTHQzO3Vo
OKAxap+25o3Xrdn0u57zf0f8Rs+gJ7B/yNkZkR6ryySEOvVV9/q/a+v/ydragTn0d9bC8L3Kvwgt
yt//VB//80/9a3NNp/kP+Ew2YmJo+ZvG+L/Ux0CCyC1zIH6RXralVP4fe6Ft/kM3PJ9azDaCwPwm
Z/2n+tj8B/AuoiIIAYCHAV7r/2tzzc/407mqQ9g3tioU2qbO2nrb0v+5t0af1YoOpMJNM1uEGM8J
Y6LWKjhHS2+e7l3NWc6FQtYT68QGo/Czp2c2GqiJhqD51332b9roP7XQf2U9bZ/GZs/Pip99PQuq
7dP+sUW3iZotg2ycUGI2xk0KvQkkide6vPQmxIW7abbHN2/Ck7/rax/vdFdssVHJSmQJJ6TXfAZS
6rf8HcSRmFVlPK8OvirovE7y21g0Q+3/uN7/D+jXN9r8j73/9ycGJ7hh70Gv++ZfcGp27oE6DRZ5
YyknxQ+p1up5ghFm7VEVMk6EY2sUUY5qipGqyyuc8HaLXWfPXAzwkvxE9jMY+PuFw+4hJ2JS1plO
sEPv0Amk2/q/HINzPQTIZZjJklOcdd8uI0Ugl+Ze53021Ye//63+YuLml/JsZmRcCJd7w/orz91j
EwO2pBpuIKYFL22K8gItMtK+ndiC1VCEB48iMaoff/9jt3vtz+/SgxIDzJ/kAO5F/mv7WH9cfUdX
qS2GFDCJD7LNKLPxhri7MPeT7OXvf9Jf3OJbEjXFoAkmDpxZ4G3G3j9/kmjIMO+QFNz4QrffO4bQ
1SGRGLl2pchi+gRIMcz+/TYsLGeu/7ubZrsp/v0X5UYhfszG7ORyOvzlx3veFlre1PnNJjh6r4uR
wUO1fQZnrQfK65bJu86lP8yEmm3i79b7LatgOM3BYl+Ua/U6pixSssICecaz1QvTijKWR78FIAJm
g2vthU6AFuEIDJRp5t9/e8b/faEYUXFs4HI2bZ7Vv4pd3NFpHCfRmLAntCu9BD+EEl+imWRr16Rn
UOPlB7wbcVFrl+3d1lY5FsrJ+5LeurbhAg04tNti+p33lvc5Ocj9zn//Iclf+eu3jG2DmwjfB2cr
T+dmrP7jdmJIket08tZ1AaskCfxIBhngYqmsgLzVEYKn6nTmzAsvzyzLUPgaDSynXhwqm5VIWXX1
gwAUTAtbzenrzNLwBIyIWYHTiWd3KP0o6ZokHBm7Y5TAsjnjIR6am1lowy0x44wpGbCjvlkTplzm
lNVHx5XVg1mkd8gELUjYo9fdyKR7kmatWUz3zQ2dthD51NvjCn179otLlTn+W6KP9ploMAOjn5qC
cCYusGb1tOSo/cGo7eaFIsuYHW2ran5Rk8hHeiF0QozOPYIJuxG7gGk+EdQ6l4fE06j+EdmC+0ED
Ou1yNEas5Lw6EmKgemsbcTK6oPrMJ3jajEfq8pEpmcKU2tm0rUk/hggcxcFAC3XbkSMX23ROewPw
8hRXjmek4TSnPkGYdMVxPVhg1ERwi5g91SPDaOWRV43JPFMvYLhIr/rBgDC7MvtAPDqWdA5jUGjm
fnDr9d2n1YvRnRTrfqJ63mtK6e8mm7ivIRXUu6sp4YHh45rSvQK3wcMxkx2VTqO/79tko+RY9REm
oIOCyu5bvuh6oqXH5qKFXjIzQmkdhRxBVkloYQasD71bxqmNLIPluWFjSeh1POzcSez35RwwcrY8
dYEvuFbJ/Th3sq53S14tTf+ZJZlprm/DrKnv9rvnKG9/mUvNoKLfjXIchX6DWqIu1TnIu/UwBcDG
TnWf5xgP2f88fiOti8WCVjFyDZLd0umB4nLVPmH0ScL7UFbl3MUuOiQ97CucrLdZB1q0PZaLB5dk
UVUgL+4gLe6ombUvPJaRdyE+9qxIbpE7Wy7LOeiN3HBWOdR7EGl9sPWDdpDEasrJ50qQ4zkoCCCM
h+2QYOChTSBDb8ZqVMdDQlWwR2pL1qK/wsgKGxOXSlhnG+2DuWM6wCvS2CC1ae5/ofBCuhXprSkP
ue2P/o2jJWRQNRb7PAdDNSqvdTkOqOt6Ooo0Y02X0DZ1+6AfGkA6lVsTDzYMtcCgSI8ZshBFBtTn
HVwpLqv5qokaNJBluSQ88h9duwUBp0E2IkjtlalfUJ9oMWUVl5l0H1ZWHgC4tdY0UGxlzKx3XmZm
8pD0E4NJXsbWuUhREe9HwSdgZ1iR7eYbag1Cv1jEfF37C7e2xqPSR4lhMFxCcliRrAaaOPI2v+0u
/+Z/NGthrb+rEhVz5PMB2FDQVHUnQ8/tY8p8zw3NknC5iAS4JFrHhAmqNvciuGPmVdAz5h22w1oU
q3YFV8beGyJJWVVmBF7FxpLByM9yAxUa8DdkHdu/RwOFO5nbJ7W6UIHeWglHybWfPa3SopEbV6IR
JGMSLuLOn2zNelqq2RxvXBFgomqCTl47I4TkA7Pukj8QbMku+yTPjOZtNSoAet1Sg1cZZmfNrwyZ
yn9C2okQg57kMzS29mOjcFgN7gp8qcbiX0eVxbYm9OckBm3cvVUseBjfg7N4HBx3/hB9Zh3ZHhJG
6JfkLyB8SPh7nKqF7v9NulyVgBwwSKiZhtzYAGwaYbRLAPdYOsy6yI89ohoMZwSamrffmKhG77ab
syi6Aa3MkA13arGlz+ZopnYkUJQP1g4cule8wYIXPDbc3TWnZB8x6CDsFKVxYt4V/QiG3fRxZZ+U
XczjtVRyKz63bFan1FwVt3ge5lPbrvAElFkTPMuSYPvleyCdM+cTn4vBBDi/ht9i7HDKAB8DshgG
5cSjIyr07PdN7/HI9yNVwT8BjEybmuy2M+yFfs8SGYb4bO7VeF1DlySBUR87hX3a0y1kiOg9ueo8
TADYDA4QFRhbnSybGvysRQzblOfsjzIHcIdaUvd9brboTNUXy4MlFaz6lDK3uGqRphSPPm+Lw9Do
hOgEafdmQxYia8DOcvMMYi8Yr5KsZS6x9Cw7KXAXRKYmXyva7W75VValc6fGgdltRyR6+Tq7dToc
60SrvxZyWTlDUFmTDk6++ebvXTLAXxigXzU9qfeEKOIL9myOuaWfs4e8lcNVUDN5jxyzN1OOPQeV
7ZSZAOMKjWzeymx4TFYtsYKT3bRG97vmQF7O0F14NubtxI4LByTxnsStKeYlM3dXRj+apJEHlZx4
01oTqqG+I20zmIInbaFMP6+B7I1POTAj3NWG4U2nfDb5q1RtZCsaxxQbuuCyoBApGbKu7TTJawWF
/7GYhm7ns/ywazVh45xZz4albpCfIFCftdeNq+yLJvVNTtQ19XSVLrPIQvRwdfZEJcKQHQwpwlEv
H6Zdmf0He2fW3LaVbeFfhBSGA+Ccx8uZFEmJmizlBSVLNuZ5xq+/Hxgn13ZuOp33VHV3dactSyIJ
YJ+11/pW3dd05Ha49TJvLB8Ihxrhi5ET96CxlAlsfMIGQikqQEigR4HLNuGgeUX/OfAJwi0TFxFr
HyrduBA28KZt1UKBXIdTy4c0NJvIumNrONnnlI4oWlyKTndOc5x6wCMY9fW6D0CJrnsJSRQNgu0U
Ul6NHXKwhmrVJaastpMs+fTHYsC7O6IhoaUjnZWf+rmVIQoqPms86RRMUj/FvqwygxusWahoI9PA
oTmyfTWJjEC1iePOfYKxB3Wyt/1GnISXyO6+9GrogaPPJxqPhMW7ycGBgtgQyEN+dKsisO7MAZTc
3htyxe81DJp/ivFzQc6jRgh3XIYl9pSQUOUYiU12UwcyDlaYNvT9WAqu+9FxKNcUXuD+y1X/8t8o
KQgL82H+rylNt9UXP/+x/v23L/lDR3F+wRYEwwIbv8WZlGn/9wQAOgpQcwBghJtRTL6vf3d+MeHi
zjCm+faHSf+PBAD17xwMOL0AWxcUyOnqn+goEId+Om3YwrId1zZ5LFk2S+OfhIC4bmnWblV4F8WK
CNvSMnREksqPnVvlFQLcjVPSP5InuAQ2cEfm0aqfx6zYo99nOJcWgceFG2OXZ/SIG+s+kImWDJ9s
2WmxvnTiKl0Uc77KnzK9v2uSUv8AjNPrwAIZkCTHlwDV2myN3A9Iwpix7La5Yr3EqBEd0ihj+Qor
k83h7LnWZgoa20D/wEaqXOS5Py0HxvB7m8fzFgTKtLJUgpYSI0qQ0HLaFv9/hdtySgpsmCzItCfi
m5/lgJsEzwdmT0u5Z4e82j6kT+E4xAJPfGe3v/ZRayLIFspZkHMM7it3vt7qfBjvunbyFDuQPsXt
ThRcw1g04ZOry6RgqRwENyVRK78L/WXj987nsO+ap7pzguhsm4NGx2bh3oaVLnrG7yEIl4kzEjWA
s8o2VA0KW4LehOODazfzVsErxhdcthm15ArL8Dh4/gNaiKcW2AJhMZLB4PbueMHN1A/DCxhAFqqO
GPQ9JopurfDyZEvWh6mxcRsHXz+m3OIT6nW19P0SnKV0u/Sg8cSEBWxTlbNMvUneSkrX2TUlWAgW
0RSaxNyHoMYiZ9c1XdGJO7427Vg6d/wmps4w2KXDit3XsOLhzgilo1GnWhR8dasEZqofxjvMnu2m
9zHiEdxrV20euJdy4rZLMDL2VyY97TA20uow5oImUNZUF3rJ+3XGHuzgCTQeCBa289EXylgNiI9n
yIFTsQjGPA0osRiVNDZlphVH4evReNJJDbrFgRG/x5KtaDiVcs0LIYpl2gVZcSfiMsj3TJRE63WL
cvtsEcCP4sST1vBNvTjjxBmQzJWzKwRpBAsYrx6OSp/3akIceAAyGvYrVxtU8Qx+1cVIn9c62r9y
GIj0ACyPNQxujc0J0NYhyr1KHR3OCh9p6Y4FxcQu1KREjql2JE3g8+whlXmuNRkeO4g7N46X9Xix
ASDh3+nb9QjVdNwP/ggws74q60Bn9WA3RomZ75SOExoL9NiQt57ztju9St1N5ochLUFg/XGmdwHd
1JWXcmXDIvMYz8awwaKft/2y8IiUHqcpbOc4sLCWecC7uSo4fBpLPdOqaRFpmfLvoFaHNWQCzt8n
chk91m9b31axi+fDt/yRT5zg8R25wPYTzQ3PWp4n3YbkM+tRQIxOtUoT2b+YYZ1vGzWU/kHo9T0O
wWi6qFZ71yaVcU1prEMZLrACn5vcqqdNU8Jt2fiY014GIo/Y8sc2eJwmaeZb4RVVtuUfQsjFats0
O+5E44Mo55HYRMgA7pok9LfjBGKwdSPP2iMmV197ANB2C1nVYsU3PXSxCXepjwMjhxg/DitZaMaN
Vdf6afIi8yKynuvREyoCMeBzN7NhapEMKqPtNFjyEOGKjleS0/RwHOamWTLrGYVjMIa3Unr1OjF8
srEh7xVL6mKKVuYkrItWjHq3sdogWYHwMW9yJ1NrWp2ZjrSwgOEkgsF4LCYRrnSLkm3y7yx6PmMP
jd4i4lyoakn3iujQVWvMcIJrTQwdSAtkndRwtGYPbk4sEwsgztoJar+64Q+IFiGs4Pxrmw5kn4Uj
aRo7iFqzKXUZhWsXOk7sRLDKo9VryUYcBwveYH/mMxUd66PKyllzpr2Pv80mcX3ieNkysNNB/Ug1
mvVMbuuT4CNM2Xk9cP5QrId2juzdi2OHBtEBb1w1JqdLV2WuTpa9MdeJZnv+Mh96UrdeLc5Jik+Q
OYyejFOP3IjRYHKirSxz66VshhfgEx0Lb0BoxsoIGbsIgegNJ+kumo8d8xlmGo36HqIqO9yc55d/
MQZAwZzmRDJyjk+/HetJNXPIp+i8l2chY+M3KfVf6uXfUC9B/ulwZP56njqFdT3/C7Pk97upb1/3
baiS8heDDZMwGFks27Ad/spvQ5UCiSmE/dvI9DsT5/+mJ0v/xaCVdl5O0cnB3POPGDg/KbWzOEuQ
Q1zlf+KYP5eYtHojAxwh/r4csumkp9W45bjBkodEBnsSHUfz+9B25TtbfO9vdGJWXT9Obnx31nwG
R0yHhDMLOV6E73Xi0IVRHRML2fNpnk7gNKaNZtac1KaU+y22Kn3XlLYB7Q+Zg/zf1bTZ8bQ45iIf
nyavLZmfkBtY48cOJkVljHTuxR7NvFUoADSMGlUWRVwRWqkjoAc3XuiO7TqrZ/eC0Uwn5foQUtRV
6uO0FZO7zrovbiRnXm0IjhBhRAE1R7W7L7URqTryhq3se7ryXH7ewgrGrUvx6wEdk9fNIUVwxFtq
c2Pts+LNUtm0oTw9XmUtbXljS2Zk4QRCywD1gkluqwfDm1poiTNNfzFqvEsfHY8eWG24Ss1nIjV+
uE5bH52Ac6hmvwY6QhEx6l7xXMVPTy8lUjNxrrvSdDHogenvCSDiX5CbPAbLd49U6VB/Gqclu2s/
1eXGrLtGx8ytW/aeJxx/0jfQtF4GjM7ZFi4GZa+UFBH8GQOI8vg5XB+N+4rmMuLfSF2p4+mAu8qM
OMuM7SAaksPOmFke9ZXrYfilfIHr2GjrzOiHNW2MAPScadXwv/AQgwexo7I7uzLisBrP+JBkBokw
puWrfoaLVMkFFhSkmSoFSFTDK5JqU1yJJN0MJyFisCnZMdyVM7jExlikLxoSroThFEZ2Zxye4hl2
os/YExftbGnZ1Dsw5dtfZoPpPQWzs9Nu4FhP9mjDkBTumxmownwYk2AJcjaINAuh6DXULiQ7c0ax
BDOUpYO4hHAJUwlncLnVDOAtNRSXQY2PNJx11UJTqv5sE/y5T+PAXQ0zACaeUTB636Q3eNTqdV2w
SwhmZEw+w2MoTQm2cIrVu3NlyyD2R3fdDJzxr+yZgUfrWbFvCBbYSLRDduXUjDOypqqLEeMUMQPL
TOhdKMxXx/Fh3GAgeQ8Rep4dNOeV6C2xgXot9j4J04Uzg3IqiDkeCZy3aYboqAKWI+IOaJ1qqtcM
zdUOb79gQdffdFcQz4zksbqJdKbje0RTZmRProD3EBExXnEdybPhZrB9zL7ZqyhOcCaOatnOCKB6
hgFZMxYotlLrpp9RQSRPJiLC4IOKGSSEkT56KbMgeuUdTbbDDBxq8ynZtVlWnOMZR1RcyUTeDCli
jzXdlTYiUjojjNIrzcgrsEeNUQNHQNMsbivWEJ7kWFkXBThpJrxy2SdDBUO2kGF4yBzfum1lWx+7
GaY0zNMHG7We/oe4C09NEJePbdz2c0aqOFixn621ATxTPoOaqs5pbvDWKG090CZxwBEF08mY8U5k
6719MQ39tpkIkNKZw15kBkLZHWgo+nbHT0NE/tFX2j6bAVINWTEI9dnKawMdqx9RQwPelAl3arR1
fCmQqKjKaT/aGU5lzZgqnZmB5G0BuoraFmT5zN2YgT6sphlxVVxhVyRBN1h+6AHKRH+Jcrs8BzMe
K59BWTTWjy/tDM+yPaO78IJ4twMlqZ+QFQmhzrgtrhNofDOCq7/CuK5cLppS4qdihnXxtnO1aD0r
AzcuPizNabaTTOF7DR7aKDYoAcK+au7cKwmMzR+OX9ZyiFi2+RV0zQyxmPFh4wwSUxDFCoIFp8BL
7zDtqLM5Y8dMyfU/2QoR8Uol02dAGeAa/aSaWDGZp+ZlHDpC90Y9qmOewytTcM6SK/HMmOFnxAHE
ahKKhQpx22Ef0lB7KHJaR3yJMZYXIzu1BFoQQrjVzIA1jeIkskDCeHAgSZlL5lNvWZfO+B5E/VDx
S8+stnbGttUzwA074hqeZnzgWaLWXpmbv0Yz8I1zBcFYTrWP5Jnqe5/Vyxkj7bDQWhqTF+0Yl081
MI/zYLvTqavBypHF0nmiEbpMwhzqHFePe8x6UHSz33Bc0p9r77LM7g+an3agmYzu3DWVdTCRYzcy
LMvnnqzRHcsabzUKWlAtzukXnmwF1Tpt/lk2mft1RPGA/zMvkpXyP3pi02sRAoz1mmLTA369GYfa
XmG8a5Zazs+5VFqt7aUBHYYYQtK9Fak0EpaNPf06zqRRXxqI8tlrs2ZNviTfSzsNscw6Ufw1E1Tz
1qorP0k/c5w1vI/0s+X7cpuVg3dqDU/edDLTAOpM1T5Qcqfa2ATnb/J8WwBhTc6N0NVtJNP6FHM8
XLfErw5lrjUnr6FFKhKxfWZL1i20Lms/4Q6ixKNQXb2sBcgBgvN9eyn8Wh4nTY1fdKtNAKeQVsvw
r5X+TdI32mMQ2M5rGebcenCYCyJBWpTNN22Mo9PkeetGl9Bn48w6hzrQ6jbrxlUsk9FYRJ4tt26T
Xz8TfWgtTaWVZH+CfDmQIX+L9akAsGq9ibbOT5qf2Q/S9+sFkpV17BtFAsYfzTt6nfWl72Ugm2x8
x4llbIF8LztCBiu8a+aphRwLLyy3FhVx5ruc6pAnVzbdenC1ZFOWYI01AhMYl+ndwytsrpI4rFda
bhX7kRTbxbV9QdKBBSaJoWLCB9qpB8OOik1W1uZGp2r30faiQIAOLMRd7JV0V5jdoC6Jn7lbbAY5
m3DrKL2q521PhX4qdYPeMYfVamMiUJB0+BK0aNsLbezVzmtKkpRahFk5qcmQemN9RyqwuIvHotxF
LG53g2WDRbVZKvb9pKatZ1TuJ2YB8xHjQERq07bcrxJy3GuaS3uDb//FLhN3rUXqYpk0/fD76bOT
r5f1jmUIUjkZj+BA6QkVEJlJaQpyZOXx0C6n97CoUrxUodcfTCiAds7jbWTHzUcTyEYasUFBP483
BtCKm9aJBeEJWbnRyioniGhobO2ZdWO5qsvqmfKr9LbrOzQZb9LFlucdxCABNDlptHGj4f7e0QFF
V4/hsrOC8/vKgOaQJIrIJpWjtyMC5C19cLc4+I3KiGFS+saST3Zyh+m6C5aVGCI2j3rO+MqOd01g
ob93Kqy9/WT1e0cfs9smLnuuE8up+HAo94PBN1iT7zO3sc5tRSI0UfrGpJotGlPvHzo98Z9oz0qe
hMkMCAOLAIPtleUtxBJ1M4F3AMhge3sEqDZdIEdZEA8JjtIA2Hn7sO2qaTX4VnSIGqWIk3ZG2DJi
qnyXlihFX6w0cmsip3EzGrJYWKU8UpYVrygwrmh3Ckp8brV1EqIaz6oEYqziq94Ii4JmrwmPbeO/
TI68iaDnw0nuV60ZnrPQNvgtxSHFEPxr6AoKNUa4RaXnUHzups4LJBJzP2pslrs+sFZlq9Xrwpre
qmD8HLraRRbk61TQOSs6bYJFXYbwdJus35LrhZdkJxCiCvMmTIwUSpf/xNvCVnWUYglBt11ZCcON
loS31JVYp9oWr0aN1odVDjdoHCerOJYVFLiEFybtWe5DyiZgT4Yud0V28IPS2mRYJPAisSQLu9tg
FOazVUFGALSE2AZdvSLwaprLSRumJTAS0AfEuhak7rfQTlj5wcF+pQ8N7lw4oQQquVWe7d6iCcdL
2KNUgfPxe6P4ZW26tveYNrWzKzCMH2wTAWhmv606H+c0lRk85uoA7bhw5QafzbQsKOZDNAEOXhCj
PGdawpM9jsZbW+eXi2TC5qpJOScUFQ29hIz+xuf052OpY+K1BBKEiwiz5Xxw/M5AFHgCm0Erw32U
1hzrsHOAqJokd2m7jZ0HoWecSJmlMh7ZtNV8d1z/f5yFP3msOJU6pqObpm5JPFpwj3785hPxDEKT
Rbg3hrx6n6IqO5IIDpCSVXz/n7/Vz90wfCvLkPx7Pv1K9+dKTwwUkTMEKd+K5W225hoZE8gNfv7l
P38fYz5Jf+d7m38ni10LXbAmtCbHmV/w717QOB/pKYxdf98W3rgJZCVAUQ7IUyB57soqjtWRrLpO
KFukb4Xrz96VyQ9uNRw1HK49dqTr64/0r370N/qRoevY4f5aPvqf5O3zW/r2vXT025f8rhyJXyTx
b0M4CCcGpl0+nt+UI0QlQQbewsrJeY7/5F3+Q0CiY5waIrZ0s/MRAemPdRyCkokfUvERIYyF/fMf
2Zr/n080DRL8FCzj5ivopw9axAdZ1CyodkrTiImE0TjtWiXqx+9ek//uGpW0mbgkrqlmNued5Pef
58moQcJMgPR4YBmPcU4wwmp1eZv2nZb+zc3ozyoVFnGQKwKTBi3D9k9uRt6LiJHV8najkatbJP/u
5NiGdQDzNdzhmgCQ+Z9/Oapu/nS54sV1UBopxjEsV//JpkrMxi4NF4RlOFYeRpcyb44c1fwcNCGV
FRiue/WMtd1iUmv9ziKumETj1sl7oFSl7bdLu+PctoCyQewh4gSv8lmdGlUFJ2IIq2PJc2xLukxt
r1WPKf1nzGRDdhgrI70kcaK2iVY1T9TVZgfVVdAZWdqfvbEJ4fZHdraaN5pb7HHpnnXPuC6bOr2w
a5m+KB5IzwENas9u4Z/0dgzXPdrLEu60vptMK+ZxbzpyGdDPdzHrNv06WVN+yxATPZk6sVu6BpKN
XQbZ0gjTDpdn1u/03MtX5VSaW0ktxaIqxx5Y48Cw01j1jWs0+bkqJKBEvF5vTDUaUlJfQpPQ+l05
Ji7Hp0F5YMw0M3+vZZoenSkdLoRWghZcdY8bDyArpBmTcEysqZ4ZJahcXCTk0vy+flUsoMf6yL4t
2rg00YAv8ficL9mNwS7VrTT73FZu8Rq1vvwUqdi8V76uCPfqtfqIZF1wLFUVA8kMU4HBEYXDBiGL
JYQureBzHFB1twwzkdzSU8GeDyApnoq25/zFUf9ZjlOCsBlWK9NM+OxFxLAW9MnYt6Fl3NMioBNc
x0gUlMpZU9xcvaakeTb5oDdggwgTMPY56UeVpsE2yIL3cea4+TwBb3zKbZmZJzvAFcSLE7DvOJVJ
yq7DMrWLhVHtqE8e7S81MAzm6E7XqO2JYGxpEPQEmXRgIbrYdX1Wry3Ok0c98tsPv3aaz5zRSHFP
PryCtdaE6sBLUK9AS76XTbLsjb46Zwmme7iXH7rFWMOcfeNpiHJx7D+pmtRO6aEBaeT68Belw7Ie
SF7mJvU+IBEcgsnNTaRVwqJEgnWdo8voDZOAxx92KcVmbApyB/KA65T3Xp+YRxZGd/aA/W0hpSv4
aHP1DKSdTlYszHVkdF+GlNY+u+JIGZvZ9LkZKEjknbU/o0nEtyiB5iqemuYezUlbZo28L0sVrlt7
etEgcZ9pYzbX5jjVZzJf07pXYLuzTLWA2VQHEUNcKHn95IJVM3ch0OFOwBHtgvEdTgvxXa9rW2yy
Ledwzr2yYGM91RFFSX4a22tsTJzAx6R0pqPsk3HYJ0onJ7aEFqrrC1on/emZBavomPPNtu5J4Wk5
5SMjZPlH8a0rwYDv0/WP7tjAPLhKu/ZV5tW8WfK1Z/VXNTLLtgTmHURhkrJyQ8W3ae9pr2QvHFIK
IkEA4SITxJ8aZ+PHzAv3XWzzJ60i7PwzpgvE6DylhejOdzQflbpwyjq4UZ7WoV/XXm+/mkXQomvr
mafBYKgGZT5Hba/Zm3JgdfHBrp43KgAYpx04J85qeZxiIiq3hqrjV80u4gfVpeG20qnS5Zu59o51
WfLsQjaslp5lQiTqW8c62EOXo6dNXd8ubC1QWxsP6qE3vZI+8sHe4QInIDeARRzZjiuDFizi7RwM
5n/seo73MI5t/+6YwCQWmZEVGxHTYpsnVIIvWuIzsCYSsS9qPTuEAw2fDbgyepdL+I7QpVielkJg
DXQ719gYTp3Dqg6pYypUs8xqnUMgDFygvPhTfh0q/luJGfoBtAEtUnamtSROuz69DJYovghHSJoY
vdDfxKagV3xUKSd4x0+CdTX2KC56om4TO3TekrTk57OSzsCI7qYXgo5zwEim/GyaU/D/2VqTfsU+
ljxbejPcJXGEQM/uNH/w0wADHJXfLYhB9iusxMkv/jsF/jeuLGIRkhHsr8fAfd7/OAP+9gXfhkD6
8Wgec/9UmweQlUenATOYbA1Qa0aZbwOgmDmuuDmx1NCUyMGKwe1brk1QtsdEyF2RoxaSM1/1D4is
TI4/Di+6siwsWY5pzQUeLubkH2czmD9Nl7mhPOhlOtxoUQ12ALblPfJO/JFm3bTvvUa4Szp3fVLb
mH/O4DGq1yhyauAvbq3dGb7LgzEAiHQnrMZ7jifTEzclhsL3oAkjH6K/VXpLL2stYDfD5G+QDpFb
aTp4Hu2mv7RVQSkG6YzEOwScVz+6brSPXdnK52Bgc46VqpLpoiFfNcJLGdJlg4YCGi/cdzaYySiw
ypZlnrIhXaYWfWyGk3zJdHcPoXQ6R2roPjXc/O5jT2u59rrC+woAJr31te5EvW4ATzQLo9fJs8o3
4fndp8GnkM+ExfFVQwdAbPVtlpfV4DJCdipdDaNV30WAz08Tyd5+buUav7qppl3yLOqJpXWpf+40
EySaKFi7oWHi6ulzSxzNIIrBysJ+VYuhb4O3qfAz5h8cGlQIB69Ywv1haclUbmsXDQ1LuZM8jEYQ
3LZ2S8UXK5ld2Cc+5jMl0QdEt9Vp9ERySFPngcLUKdxOWZC4AI8Ck9WdYbbTXN5sEJoXufoA2DIU
yxF5TF8GSQdLE9bV0vTi8oClPlpHtUHI2MxzUPvc2W8qgsQL3DCsvHRV4E8YgZ1vvM5t7zs3LXfY
gtgPaXr9OdA82SwVQOh8KSaneCiRaA8kOCl7x4V2yUkrozAWWXJrQNvUF9KfoluoRxS7+7bbvSQt
2yywHo28QYUllRNMI/sSqGXqYLFzaFZ+2kdrKgGrW7rnCb0NYTkuLKcoWZYNmPZwCIGqjFIrYHEL
loqw8Neav6Xd6c1UhitNWvnXHoogGayeNtJFKKbmPassh85BTyZI4UO076yshGY4Rha9Fw6quaHk
HVhFws1FZm+UZlXkYiyEIU4ZFk9vYgW3E7J89FzqMQ1qlwkzVY7ld9KaZssiJbzvRze4S0029ckH
766JmhNg8eW1BVkGsYK5rWJVfNapkvDO8BbUKjVyIt6i6V57u3f2cjTMJ1/yPcgpraJkeiBhimM7
48yCt59tzc7LDIb/HFAXRn5n2ZFdPIyNgCeVUm2hRVa1nJfuAOGxQ2ZGNeeic4xzxfwMo10sCuhv
1Fy8MOGgWnyZ5MCT2LgxG2WccsK4PFzEvS7UjtYIG+wDfA2wWjprlGzcAZbndZ/bR9JFJ1hkADPg
EyiyUj9rdj46q7puraVVeWoTRlNzMNkVQ1GDhmINqj+21kS+vExjjkVti36WTuWNQybrYEZtCsE1
E5Rs5A5eQ4gC95qqL6B7S0TO6OskrSdD4zaQyPhDYkVaRRTZLvIwqh+1FnwWtDl3CRuNisTBNh4q
wQ57IVP4kKoWio1WNCDdwfiIyGOxIRHNomshFonsWYkKlMTEhY0mv4sa/57GkWCd5gBSyLZlyyjU
gSYNdSJ31eSk6M3O/Grn/aNuWcFK70YF0VdM8KCcDrZzZN47RVuvuD3Fa8QemzoQAUfHZoW4QNFu
T7aK9XU5RMORTdb0CU+keHEpGFyBbk9oGgiCg9s27qPrUo9T9JAXuUnV3FPcnHvHIiR2SOkBi0Gu
fFL4FHbxymV+dDd13Btjv5C7fBJi12qKonFDU8Paryly8EzAhU1GI0pf2/4SC2V5TtmJbV2SxDdx
Zb7p5HgXrR92GzIs04IVX0NurdNjLsMsuPQJlRRwYTIWDX7Cq21aEReqZL/+HmJ35DW3ZhpbSMJw
ScwtO4Z2UN9Gtew/Ot3W1nh3qRNA8V7rElZOJNx2U9UyfSlzKe8CSoLHpc/b/xKxVjDtVgNkMGS3
BgjY1Zj4+qOpTCCNo2heSdeJBxe3zKWkmRXFrtQ3SSHaU4d3dh/B56arE2l+TRtVwk03CNsHiAf5
QQa19YZ/jkoiq+ypRCizkzSKejdotnFb1zYVjE3ZclX14wNoCUcuUpKC56YjTsYWuTuyQQRrGJDY
6qI6XkHP4JaZ0Nyq6ghqjBbeaXHrykXcSYrgueevrKgxZyRtMB2gxAQbIhzpOTQT7ynIJmh9aWHX
v46hGWIt1rrwCKuh3tXMxNSrGMNn+gzo5YSG8Wh1Flg1L3KrRQLmGvNtWT+Vfm8e6VToj1Ofc97A
v0lvIef2e9tpjQfT70wiGRwzR0J6HM04bXwqyqKG2OUMd0Gdo2xwYyp3PNGHNzbsyaMVCLTk1jEw
i4BDWuqmmDBfts0BUMqlaal7vvUry2iaF70EZQl2y+mNWH8hN51ku3xwq/CTsE0vA7acOy1PopgT
4e2UB5AtMqtN163hzEW73UCGQR+mD5ZmztqLR6RkeHvuIsAtRW99hcDvB2O77fX0sR+oLQ9J/K35
kHp73spkhRchueA5BfeSsVj2gSvRUf6t3vpflfTvVFIaZf7TePw/VTjl2Y8T8vVLfg8t6OoXHU2d
GdQlJXoV7b6ppDMXQiKf6iRhr6V0aOW/q6QuKumsxMsZ7wA3gp/h25BsGb+QfMCoRWrBsJXxj1x3
5rWU4Ds9Xqegmp9rLk3Q+XmYln+ckTFN11hInf5IzXAylORwsQQlMB1tegZIgFE2mS4hgzVTu6Vf
IEn1Tw1rEmMdE2OrH4EyNlO1wFmno+FXUVX0EUfLrCzkQ+jAeXJgLoMMNEi29cwCG2H1BKGRIcZd
RH21FiwhvJhpt6/ahDst13vDvr44ZcmIGQK2JXKP4l55ZAc8HBAdO30PKWo8jcLzHhlTigNUuhet
zrstF7/rL/VBregBKo6sbMJtilvVgHQam48BXtZsGQYc6xk85+CfrDq17q2SeFFSTYiaDv0x91Pc
2W96wdBIF1ndnUJ9ro83g4YTe8WdmH2dBexqm9FUu8UbnOAQVHm4J9lWumelmi5a1rSybEsNk/YC
E3CzpamGrIFGmoPBSMS7gm31JpoqF+KNlvEXZwI7HzZ6r7s1bS97bfrRuO8dPIDbvIHgGtQ1dzae
DybKkz9OgLvTivBA2b00DOjP3pS7zpLWKegvQy6HeOFVNr+oIDVuvnhAao69jQ+lNp1qTc1ut8aT
VRqL2qiOPQ4VGgGE26+J3oJ44A5j75na3We23cPRbOa0c3hNPgfXFHQ3B6I1a85GQ0Fdm9e8tDVH
p51rirqLGhdv8pyttq85awI4ZK4JsNtoL126K+dINlAqVo/mHNTu58h2ek1vj+ac5K6uqW5jDni7
Xqi/TbgvN7HN1biZxcc1geTxLZ3NqYSDU6LiHBMejKwKbgBfJS80ZzkLT++AWxea3+wSbGT6yqzc
2zQdiaHPgXTgD265LALM47jrBzLrPg/1DXXIA7m5St0ONuF2SPpzmpLAe3DNvlMFED84iWUXoJVb
xELiw3tg0Oa+maPzju16v3I1kKfPIkN99jD6I3fXTRdv/aY0Hz32ift+DhGYSccpQOHGfpCie9fn
4H43R/i9a5qfKyDc41uxcI37c97fn6P/HJjEIZ5xALPovu3qgFwEHnvDWNkzOqBGP7JWNTwBWyTV
uZT69DlpUm9FDHh8hkif7rwri0Aj/hItoOFa626GFYz5kJ1LO8JM01xpBmY3m2VqEAdG4OVPjo8d
qddUts9AaH1qEGahszVech/PqIR6iumlZxXb5FTGVa6HDd5mDL3YQQkm4EpcyDNh9txZPMOjcUKC
wMdWd0scUG0wwXOqNeJxzz4AiwpxJTDjo1pkXvMekZEmLk3Dri1JS8MOVctcmG9DP36CFmkDJ/QV
YZnOdKt4VVqc5jn8FGVQtM5dT8qR1O0iZhYYq98WJP8+Ff/mqeg684Pir0UjqBN59faRf788/O1r
/ngsgjeaFSC6oMCfmDP/5PfH4vzEtB3B6krA1LHd/1seEtijPt4CEWQog4Xj949FhyyfYSooRjbK
gfHPsnziZzyLdBHdCQe6km/HOfGntZ5O5Rc0RLL2fMLLSG240ZCLeeF5IbLqEOkpjnHIbFIG0dat
SUnYR6Jyab+mjVzYbkNqaRQFGRzlydg6ZRq8G4fTZ8NtKMKBgeZab8H8UwWzhQRKifHR9vuOI8XE
P/UAiRGhVeJJt7u+pNPCb9N2CI4GSOxxwuEoXY1olUbeuKPAKj1YyG3kiq0+CUfKP7xOfwUS5jXL
3GmqYnyISu4QGLCE37sXGQxtoG7DsOG+qzATLziyA2Un7U9DddJWkzaybUKER7nIIUT8e9X8VwlY
gEN8jv7TVZNlX96b8L1tfrhwrl/27cJxjV/midBwXPMagZ0NFt8uHNf6xeVyYa3vsgpmI40e+rvo
ytVG05XJY/b3vuLf50lEV5zrjj13YV3n0H+2dZ/l2x8MHsCbADdxHiJSb+t/CsHa5kjbMm0Ouzzz
jZUZhFTLTRmEeY5KoxN/ljoNv0U+NWs4UnCO0VoXVMrERPTjAlerfJSdjA9a0sSnoU2OnRQ1M5ID
D6wCtqdr+KoinoYjoGWCooQahJXqKwoDYRTLEle+0ugedloFYtW8FFwKKwa4bBGRPVobpYsIwdpj
AYOGOB37k6Wul3AF4/9l70ya4za6bftXvnhzOIBE/yLupIBqWMVeFEVqgiBFEX2baPPXvwVatkXZ
n3z9xp44bEskqtAkTp6z99ryYSx8MhBTsJ1NLQL0ts+O1uhhUfLXc4RcAfVld9aM3YPhJQ0CwdHE
ysm2vozce23SbzPTeIY8jLjZbh6KGnBc3DMPrF30fo64wZwrwVLzfZxm7rd61z44RrZSRZnGThpf
r8JCAiUbIv6ouWdd5+E57XsgKJyaEShL3JfmRqFfFbkGdJL0sE3tdTLUW35pMXIKLKaVfAVOg+6d
ldiDQlgmvEsR+gVjYxF3Ggk2tgnexsximE5yBe64Fs3xmFs3kzeAueQnM4vpUuojYVaC7kq8cAqa
wuy3dm+om7jGDrEUQH4kh4SJYp9sq+XjT6bYDnicQ7Mh9F1X6NUk1BqIyl5IIOHrUrWAIMDxou3D
0TflCyWLX8RfokLDftf5d74OaJMGC+pMkrsolgH+0DL1VpcGyc2ZL+8iL8qRDRAIjMsO44vS1QFB
pLkxQRuEk+2iCdbu3m4SGqjAv61Who3LfUD/+aYcPfTVun8HXwBcdc4/St2+GVM+VJzl1pmpdaz3
GR0sNMHz0UVESoW03kU9f5d92WUqDcqMWhJnhfczcCIHMI/gxmILgwDOti+5n19nPyeAk63cppjS
Z6QqXHvFf6HMJULF0Kpw6j3JZqnmZ0rOkjSwRQi3wf7USj/oZPfwdr3LGHrsSDJs0E983zjhlnHX
BKGazg89Cq846kb8ykPOXc3bALIHd6fncqvgBICyTNPjYwEyf+N42bNprI2N2Se+tMnTy4HTReV/
t8DC2U4tz4nrTtGR5AR1kZDKG/iufHBzfqHjcoW9gZvJ42l8OxlVs+asafzVJi+fS0QfW5w4hH8I
aW8tZLFBkcvouJCnfFtKFLeC7SEw32UMTHLoduSPQV3Oaz0saVmGrT7yGeJEnjypzfsYMt0505WU
9q0S29zloSQt+TydsmrN++EuY/QI2QaJoSd4UKHk6qE3EmZJLGexRfz+ioQhvRkTpNjr42VmSh10
Ayf6bLFrG9gnbeqBQGy95HJbiZ+jiNSr/UyM53Y01seQhCHYUlxbreTra1F17ozRuoRwC1QN0W0m
QIzg7S5/s2HhSfX3JOfS+ixJ4GE7VUB153Z+uwHWO5xH/IbGfLU3F5Yxsvd6EmH81XbCpeuHicSl
jtuIPJJ+SxhF9NSktnawE76qAvYSVINBO983Wb1ISyO7lEtg5K/YdEw2pjw9usbTXJq9H4jKiI56
N1TncJfmSxveuTdlz1pMkUA+RHVOTzjfFi5PxKB07RDbPKc1W61z+vn+znW4yRg6Veea9Dl6xfIF
kvypkiwOgIPoc1p7PyFOgwhnfpkxATiWphMQB2OGWMuhPAvZnU2O9FYYkhdCydVR0NigYouYRTE2
WNwmLp3m5v4+GsQNJjdvr4xq2YMxIWXFGqFRU8kH0chHmAYSFHlEUPXiTz6UbmH+ujYJHw3h20ML
T2EkTlsj2IQUNRu/VtjZ1o1YVllSRL6IDUWS1w65YUs7N+w8Uq4fTIYwafUKsp41Xw5u/koZx6lZ
eALezrVDhg8RKmswm8F1tSq2vdZMTpeGdhNDgI0+p9Ciawz0bALrFtdG1L62Lv+7HJg7RewX45T1
xEKtuzO67ouna/a20th81q17X2IkREmdXGsTNny2/IxwADMANGD4rxWygJzLdnsr8gn5QDVrTMFV
oT6jEF7dU1QEzha7vtQwBnTZs8jqOSTb2EfKo4s7m6FQSBe6yS6WWA7HdNK5hKaOMZcBFLEb20xn
x5XUiDCT2HLWhqhRkEbfyZluxpL3TEHQbMktidGNEThtqx2baHjS+rp+QZT2xUrRg29ic85fvdbU
FI0keOi4Hfx5OvRVV+/g9mDq33QayXJN1vHMZ9aohTGvohD8aXThT7XSdiDhJ3nJrMIDI49erzwQ
69RrD0tsEYODxqw4jxLfBL3dFYYT4MRs00t7dMSyjZEiaMD8KR8S17n7rhT7C6HfWvF/1yizqGss
CCMmmkXG075J3fW90I+YDzzlSN8ObrqQxKaS1zTn5WISFDV02B9sNgGBlXKn//y4P4r+3o5rEVYu
HE93Tf0HqAi0R7H4fTMcjOltseMZNNP8pZo0hmtN/vrzo/2o93s7GmBHR1iGT3Pwh6ORMQP5W1UD
llBukLUS8Bksb2Oy53/9Xv9unf9m6yxInvmp4OLy6/Sf49dOfl2+3wR8+7HfdgHmL0ga0ErQsWU7
bLpcx992AfYvmJmJ0ABt+g1389smgM4xaly2tDajUW5nSvffmsreL6uFWwf7KnCDs734J8oL8w3T
+v3D4us4R2zQaPSV3fXmff+wUKrz2hhs1J4jiPCAEXQPrqnu8lOC6+I0U/qOH2IS0o61TkP2bEyr
/iaBXFru88xAWNZ1Y1Ey3mPNB9FvbqJVnCWamaldHFnpDUYqfb8an0ilbLNAzdoEK9jAYWEs9IVn
UdkPCASfCoOBGr/qbmwj+wN0KHUjeQfXTZwFxBAQvVM7BdEo9loVddQHF8O0Wqa9zDNupcNz3Te9
/uDnBv1ETUvFbVVN+VF2VCp1yXvzzXMwOS4BOrY7X5Zk1YSGZhi3kRJsDKTmv6LkZMlu6lVVOJbY
yWLS95hOzzmu7JE3oJoo95QledmuJypXuEc7N3nm+qeBRmsbvZgxdmc2LhpiTOiCAKUthzNFYG/g
mnj+NtKepAhFRRLgBnwaALUxU20MCd/Tma3iL3caqg1brIUG06ZDP/FiHjWKPmVgIqdZiTtIphQN
U1qb0FB7H8IPNkFBt0Ga6oBibyhD0cTa4zCYuMUQImC7HUzjvPOkr+/X9vL9klNNYOcYjAdmqgh9
c2qpAdtJMl95TaG9qmTyg5mqjibmnLzwZpsvG+Yg+7fPJ9dPxZ3dLVAw9e5MFD0XoyLtkg0URt7d
WszsB0SEAUlTapfWnGQyJ9lMqnF1nPepOI89A7AGyMc8n84dESXJISqMXB0ciSlxl9hunu5NqNc1
tTiYxEqr8yNr+9nYWT1h4dlIdmwaiwfiDjwSM5rF0/fcKujH+5J7wWvyI9sDCapRsNNkYppuwXrY
HxjpF/edZhYfkqZbHtomkeceRKS7TI1YbEzROWFLGXkknTY+ETKefAIiSfXgL/ZJa7jYHt5EwmiJ
rwvGmi/5tru0lZDV3taJTM3ttkea6vfOZs4a9Uja7LJng4xGuhDm6+SYE/UK2toapKeakzAWWZrv
fGgmySV84a2t/KFooPE6ggLIMrENkaXU1W627QnUuo1Kf7lIFfg+s87TUPV6RO5vSaorFh1vbyCV
2HUw8u4L3rL70psJvsmdxC8wUqXIenJDlx/62nqw+4IYNVv/RJLAQgUxtox5s0FpajuSSlXGkeoD
xDjOLvVUFFiuaAIcNFiSIg8XFZ6b7gqwan0NO7K8kZoJhmBZ8DGnlsGQs/IJ4GjhWqGTP0DV7reC
tOsjfs817RIHaDAVtvlxNhx9Y5cLdX7UsT2aUCVtmIzzYIgq5aaCSbSr+nHeirq3CuL/MhUMtIz3
LbKtiwG339XsmTmJsJN93dsxW8FkxKaquyTGIzgtUEUy/rfOC39FME0gGB9GpaUXwEDjVduc0TkC
ekM+XqiaFb5AZ3XaZEYNNAgJDjmXOj/zpFriKSHLdHN1iOuy/dD6RKBsp5FohSEZzZT87kp9xEFL
9l/WJpfEfnRHpTf1PcZgAjlalwEcbuSawihuSHGtFmVADSx6iybMqoceKrxqCB/QsQ4IXMLRcZYT
mbz1TTIr+cnn+5vwgRUSoaasEUc7Ku5QTWUJEAMHmVVOrmu/KSs75fu3wJNV4tZGwCaxA8QokjsH
hAUEsQJOA5Sw7DT2Wb4QBYG4U8+EkyKiIBoCrOJM6E+Mbn0pn2qlk+wN7/isjpie1cug3eFbY/Fn
RqN2/jRnJocoevotnuquOy/Pj297iZpy8UY4I6uSdIbo8W1lafM+evXnMj8WNU8o1TgJXm9PUeOw
aM1wS++7qfRChzghfTOKGu83IA7sq9CB9nPM8oyES1g8DpO4NWw2LTXu1DnEtcknKdaQV3hrI9qT
dRhyydt+uZTsYRdSomlqSTpSFx2T29NbYfZvufQ35ZJvmBQP/71nCna579Iv/X/q1/8wdRjK5/dJ
DL/+/G9lE0MCnb6oB/N9nTms84Pfyib3F+oy8gEQLa1BDKub6bdhPMWRb9Hg97HIrbpU/uiPuolJ
vCn4QwZ7QvBH/0Cx+mdzHAUYUxEDYSNjEXP95t/vMdCAUcIss34g0Z5p6Cvukat5ic6ylfk8VQfS
to4Isbd+NDyQOYZKT/7NbmNtSL/b5tBf49CMZPBhge1GXvDuI9R4sxrPi3WADBA+IuthgeAux3xb
lUjrBQYTtEGhj64TMk900VBI7V1hVdtJPFp06FRCWwTYps6LNa29XY/ntnFhx65zSsseN2xKQ0it
LAnNF2tGzUVU31AlrG+fyckikCbZLJZF5bF8lKrepyV2D2272P7BqmGV4Wp1zmkUVctG6T1bTq2T
phnqOUNGs7pfIMt13BOHeZUtoV7ES3WKB/DeaPJurB5dr1fQ2fS0C9vO2AJj2tnK/NzShpsiqYYt
kYIb0pj6G8d/NEyKi5jFWfIJSnA5eNgDyyFCs0VTl7Ay10WIfgfvJ6JiDTlCO3VbSNrbsW8+D5Ta
+7QYrmPpkmJUPSvcUKyIQetMxZ6sQm8z9bxKzKr6Us6WTuXrLXAnpi+VFYexAwKkkhNxhTq5tQ5p
cjX1Tm5exWUWB/8uLv8b8TsjFMEm6L+vLpd11yf/CZ/yun8n8fn2g9+WFd8BPmqj4yEow8bjbTB4
+X2YaTHnpF9A1gMzRaQ8vy8rFmNOHUEhf8yUhP0Sj9q3ZcWyf2GtYY7Dj3mre/GfzWTc90J4pqhM
/xi/Clz1ZNExbn3/UKPob6Qzu4jkmBLFap+iIOmjsBb6plzkhdZb/rahmYYqFDQgvGKSkR6JIXaM
QKTGQSIQOI/47Nul1VgGlrYO3FrJixp1d9KZw9FrJzeE1OWc6qHSPrRgrQLmP9qpT6H4ghZyPmAl
mz9moM+rDWkJ2t5o2npDU7gl/lYybqyVsRNtm8K/GCNzn7V+FPC5501ix4c8TS4cpPlHqjzevG10
Q0rl1Yx5BXGTvrHI9jq06yzCc7wcPb9zNEjhiobch57Yvgy2gV8/o/goxy4LOrNaLkD2IC+GPTWP
+peElummLXjMoywzdouu1J7JJyDNWOy1yq4++cuYAUlaa2LwmwB7rrp8sbZanEMnEr25K9zSCxq7
6Q5m6XD8kk4lZ8oK+8rzib4c0ls3huIEPlodmpzM5Qnc6GZqQP7FfXbVLb5OKHiutjhlKNFA2m7g
pZrbhAU7jFOMcxMz4M1YF/KYp+5FYvhkwJvlrU8k27aP3L1fDofGmpD+wF3BYokY2kKpFIpI32sk
CgZkgd/b/UhN1q9fArRC2A9mFBbLAEvb1pxt4Q3PBM2EMDbLYwOE6tRQnAWmgGyuXPARbB5s1VYh
7ncWeKwhm9Z2Dn7kH/ul1gNvfUWkKtLuF5NBmqkP9lbWBOiaKKd3wop9eCjwNgX1LyOaRp1JwxtD
Zg7gWGYD0avUllDOugUHC2SK7cV7MIlAe0yH9GAj+9zMDQYMzTtbqggfg23iKZPdhLUo3icmUZh+
i2C+KLRtnrV3hCjfe7M6zwSvgJi0zp1WpfrW0FWyd8lZVHb2OWt7a7+CRIMpm8CrEDpxbIX/1QIh
E6J6tUPuiTs2qhuMnKtoLMatmdW7Iaa6FXGEHTLug9EDBkqEOjG+vX3Wisz4vFjKCPJOngjyfVaL
BS888Zpthij8sIYmBIqWOs1d7oW0ytrQjRvrkCi6sRZVQKAj2gpzo0PcRhB57s5R6FRyhFK6YDvz
uII1MLudQzNhF5nZx0448UWlJ+XO9J5jX+rHOUbgZDeOdlcQ+icDtsVWSE55elsy2MDuxe4oy+HG
Nanf3enVjNbHhS2gaCeHUqoLaq9i52X5tGUbDdc8p9i2aTxtqxl+Ry80/Tp1OrXVVV5uwaIlwYDS
LkwIQgEwkTlnhuiiII298SBEDFNqFCep6UOokST0EYwKZxG+fyisjBi62J9ConbajW7XaSDtTP+4
YOjc9BqN3nJsgZUmjUv8miJfWeXVh1wzF9gog340+vVV6aOKZ0ig5cmWKmZiT1o6wVCQXGUuAFT4
qMM5cjvmJI52XtWEuuMmu9Ss/DkFJxxklVecjS0W3QHgcugqzmejpH1w4axtUlN/naOEIcZU28dm
hOSXOf0HHTgE3B3n6IGyJUHRvnWirN1OOhDPBJ7bRk2FE1rMCjai9Rn9F7cpaQGRMVwXKB3ZGaWE
U6Xa19JSyw4Z4qnrXWZc/H3pYnx0lgVxYFXt3BgjYQldDab6SEIv+tCNYaVPbR1PG3JdP0h8KAd3
RNdY5MhD1lluYOjeshU0KsIOsFGgx053sQh3N5TiyW/BgHjQO4KxlPaHSCRxULr+doALrPOo7Wer
/TqiwCO/dYku7S4z93phGEesJPkOPO7InK2RGzKeMVb5pXdITP2qLsRnx5HnWWxlZ9Ke7/FpYlxM
EYIWi+mcDXpa3fn++KlAAknSjPvVSVB2jVHaB1Nc3AljOLlW3102njimNcRrG9LtRYHTCLbNdcEo
P4zMxMOc0L523YAHFAkLacMDvFoLnXxkL9m2nfrifCmmbm/NHTMf8M6HgrGhNJPPYOv8u8WCOVZU
xgno6bAbxdLueq+AyepxxEqpO1JQ0mtJsQlJYN5Q3eEEnnyeZyMudt1g2wwN7Q/MPZMQDm56Wlp5
FnctW+7R1DZxP5ApnfB6ScrWeSzy+WGKBoYHi/tSD4KoUjySQO/7aT8zzCHcGM4JYc7+VV+M13qM
MBCb5vrBp4sGkn/Q2zRIyui2zlS9nZx0N7cp7UTHKs6MRPs0+Ni6SRt9MdMGGlsxDGfeqDrWGrSS
dEQdwsDn9Jjgxd/HGqvc5Gl2MKzWM4/O0T5Vpr2L3clEldiYwWw1xj52s0/gye0zpXl3C8kLMm8J
p9fiV1Nr3GNRFdFOcwsycxrH2Nm1C2vJKvWj1wDYry3e5IpVddcRZhVO2MbN6rlwZNV/tFLSqOFL
E7zrV4cZyie0IjwHXj3d92RYuzyKrSOxHbfcfaV3FdmdD06IbJZ8fcjqrLSleWgFMhP6Dw09vo/m
gFWIKNplwU8Rb23JLCnLN61qJkwFlYjsW9OiW9Q91iOE0YqgllGSs51hvHBt2p9FqiUgT5pOdd2/
xP//ld7JMN+Mn/+9vD48TU9p+v2Y49uPfCusDRuF/DrGcP8Ep6Vx94vAXwy5FnbaOun4vbAW4hem
JeBkqakty0Fa/3thbbCV11eDKXK7fy52+iFejLIZLMFKtIHSQ2PA8tZp2ncwG4r7QuGUFB+kbJph
06iSShbdAIWXKkr/vLHi7gYFVPelcXME6Emu3Qq/XaByabDKixTSAnXFaj6MiinUqLd7X2u2eMQb
uNM6vwe/OhKZ1adO+gzzPhyGtkmo60xkhoV6okFAdM57GB+LX01hSsdtX4uFdzh5Qwc/ZqyRYB37
WtF57YhtmawreJHJ1UzYU7FJZD89+XGzPLngY1OGsZw2LPxMbTYd04adW+jt0V605pl2XPZEU2zB
3AOQV5B/9LjwsAT0AnI3MBnSfh272GBKg/08xm5wEyfOjdFrdJipWcXHwZzV3yGS3rYuf0ya3i4B
ECE2SjQumG+vOtLvL0GJzyvTIul8UB2RLzZDJ6Jo5w5uAJwRbFuiXZXoovSvkVILqIWCr9Y4HuwS
gI3jXiXZssVoVp/5ahjBkdvJpYAP+mKkufapam15myzavLXTLLtAr2yAikzw9RMd4u2BEje7QZr1
led1H3tE4Qe7mc5dWofY9sUeEcULK1n7/N0e9C9G0Ssj57smDV/aWifBK1cHl4iFsO/9l27Y5cSR
TkKVVZfRo7Fe/RgN/wNxo/O15jI4GXBDAjOe0JYkVSlwcPVqJ9f51jzM+nOTG5wG357mq5is9iPu
XQqAhX9rTSG+iqY2TrEmpqtkcNDgxC2oOC+6j61Z7P00Le7zCq2Hk8NRSWlM7ROt0/b5SBIBDkxG
SnrJPW32+njSlflSOcP51Anj0A+RfcCcK3t8CURdIZPazjaqIb3xk52dPhaNnx0tq56+pAmzN5Aq
05emgyrvLkV36BBgkbWUjEHzNqIBZc5DmV+6o8bDJPMUkusLSdlZR8Ax7f4wp/N7QvNaBikpAEOY
pmBUqEv9PX5Uwd4WuYtbVfPtXHGVNqQEZxclhuvzhZfip6Wvmq8eEYAdwrZOshnBD3iYFdyECjvG
wZ+b9FQQNnrxlv/kVcZ4QaQSX05Acyy3baIyUo2RazHci8WtlvbzlcTLem4KiAkp/ewDmn+eTS1X
6NIm+clKZPvsx3l8blmdT7k2z5c/v3d+WLNsXffYOdJbMA2TxiXM7ff3Dma4CBe4q91SnKib3mee
pmGzuF/maZ06Ipu0/PXe6Wr1ZRKeCiRNsyWwpiV5yZqaaR2v22Pb6+0nt7WasEgKfY9G+GH2VwnX
4JQfy5bfko+dTVwebuN9wbU/ryO4jXpPfhreyxl1VC1umQMzgXUXvip9/+XCWkVOLFfLbsQ7ty6o
TOY6u+kNdIcavl1irvid8zhf0nFXN2+3bUOrIICGu1x0ILrPjaaOXgEc6g+eVjLWyAz5qSLwCdVe
ygy5bBIqNhOYzDMB7Pu27hA+I4djeGgOg7MnFTR3t7mXeFee3tbL9uenX6wt3D/Wq/X0w1P3iIl1
UK/TElof7e9eGVOLRIchQ3RLtJOjhT30rM3StdqHDEv2RWcw9kRdI7W7bEkZTdhz4zcXc1clsL7x
f+MH5xkcNqJggurlY/OUjw7TUh/cYhw0sNEfcQPxZXRRGGeMpLTdP/8C9Ez5WA59KfTGP9w/lcol
KTOxe1s4jDvmzCC3ponjXUumeLehvFO7qAVKTvoBS0yVII9Fk9g86ZFun4zJiV559pDiAR96MmfX
OHemGb2OaIZo1xZedFe47ZqJVsU0SH/+2d/exz+cfNhzrmEIgfaXHvsPJx9Leqesyb6tqd+R3EoZ
vXI3RzibofvdG6TUXWSzhNSLhW3fvw2wRVXhTgckc3yb90++6M4Ke+qw5rTaXc+wfe9PVo+mtB2q
K+XJ9NwVfP+p9AuGyUy0X0deE1yi1HoGNTOc0VzyxiBv1Xw90K2p9qBYsK1nttrMomMZGobok0iM
7KB5mncEbYOs0nOdXSHNeNcQCfPYORXJXdNKvoSXs1WVW5GAJ8T81Ygl6xW2PMJCAEcaW2yz/o5h
7rNRdgeZYP4H1tw0ZwRQRI+Vy6NOTTBfvz16ka/FL6CoE9xhOf9zqPLoqOZO3KLoXAYUW+YY+KJN
XvSG6JAMXfUjd9741SrKdQVZT00GIXFIGYJZjADYEGPqugXNrK/o3PwOWx1uBgu9MaqE7ItZE6ja
xsl8lk+C0WAn0O5ZwJGSeZKh7RbzZWaAbPqbG4Ei8cfHkKwBagbDY81ey8EfygbWahSf+dhCUDd6
F5s/D9jmbW3GSt/ul6hNAhcHN3E1Kol3lGLNkyN6daMM1iRcHvIs0VqXmPasOLZpIckeKvU0D0Z4
WvBJ44pglXx9XA1Xf14mvfjI8t8/Q0YYvw6pa2khmvzSDckdq1OshFVxMVa9zUBbx9yHU9IsAIsW
8McKg1iWja9o7nmxNocQId2z2So/0ocwmI0mcikCTaR7v3WgZPFgTaEc9OGFSAOWyLxKwq5Gdj0b
Su4tntoDHaC15FyvK7uj/hMG0IOt5bCDZ5GqrW8un4wGe7pZg0ri8yQlmQU8EH5scbNmQloBABf3
C6aTMuzGMT8CC4Co5hd0DhxTtXvVQi26EHNk+UEz5Mk974H0HnoxkXLsyOhc1GmZfZKeRTpbkbdO
fEioWzBAmqwGG5k0SEPInrjViCOnwOnm+qh7M68qWTrhCu2IN2aCeKUHWqnzdXOWPCa+nCg5rbSn
qB94DGCEoC3wHGlZK161uovjXp5FusVbRxmZ+ZyYEd1N/ABNfgJmsZY//nITE8KtwQpr9WdoH6yr
fcvEeGFl1wOtUsZ5bKMBWrgRvE2MefKkWWBCAlB85prERw7Xog/qJquY020MN5tvO2rLAyZJH4Oe
VOpVOLl3RsqVtmWiieLDcyL6aXqnpi2CV8JFUaUmAYRgdzN1yI42aUuVuZnjLuwRomobu4lofJiq
eKV1etujN02x71g1DeXcrYJiystLl+jZa1G6U8DLwOfM+Iu6eVtR/51K/81Umgmp99PB0adUfqkr
mb6Ls/v2U982t57D3pYigGnv76Ohb1MjX/ziebxgGcGa30BIvw2jLZzhjIRWGiM6mFXF9/vm1hK/
UJq57G9hL+krm/OfDKMZTH1XqDAzAmtmm/h4aKyvCfDrn39XqAhDT/LBTpyTj27v0JUGr3T8tQe1
LISV9p20n37+dv6rA4KKQsYEbtJzDL7Y9wckPEQ0ointk2kL+tDjBOrHJ2oe6MnK4ZHG31XCf/EF
oWxzvnzkkvjf3x/PBy8m0UlaJ7dOnCeMJcaluTb6pQ0R5Odf7f1Q/e1ccqnXgo8pocuW7f2hOrKF
4yE3rFNeTvZT6maEsvcKphkhZsZlr5R/76J7vOwie779+aHXFsQfJc+vhzZwd6HE1EFxIex8d1an
lmVdB0t4kiKzziqvIW1XsyviKcYYI/7PD2a8f62+HY070MC16UATpify/mgz+/zSnVPrNNUOB3Kb
Th83U6azOo29mzFPM7MmOZbzTGIvW6NRPlhGTf7rTPuNZaryz3/+if789R1Kbof+jIFA0PoRz5ph
XR4KFKMnb7L4uj6ztb1Onsz+//NYaEhscArQjV3rhxsqzky9SMAbn0w5kR1iafLF7cv5dshE8/jz
r7Wex/dX1dFX5hqWPZ3yxRbvz3PaNx1BboN1gqqFvlTStMf3/TdX86/OHYsQ1lYOtmpS3h8En54F
LKmwoK/L+pRhrGFc4DRaYKicV9LPv5HxfmO03jqOzoTaEPChOYU/8nqZAhkI5wzzlEGBIR175JhG
pLHtLph5PHptbj9ZzsJDmvrz7cKICR0tnYG/+Rh/voMdFDjrQJ5HlQbaD62VSBjsB1b25+z1gnyV
ytDw0/reeUPYRKC3JHZs8xwl5wbHFH2wt4fXbiBNsIJ0h59/mr+6Aii8ER+tVxp59vsrAPvWQcrG
vFPiObpFTTBtJoxPJwuT0fafH8rB34DQmVeL+PGOmhuwUh0Or1Nqc3oJ4OCRJXqUpZ7yqf5VzPZl
/r/xVzIeCqTc1X+qobyu0W3L//k/75d6lm+LbAx9Va8LDven27dJ+rpo20Y7Eg5MXLOmdc0jBS8J
WZM3X6PtYXX4+dd70y398cSsh3Rhqei8grnP1pzW96eyIaxHII73j3rUpXuLaI9iI3G33DqkCt6m
a7T91rTZkiVeJu4ACfvbcu5JGiQfawq91GkPjL0RtK8rCNCxde6lqJbpR2kk5KUGZeDPPzKyKz7T
d58ZpdlKluZG9GnXrE3m958Z5WyGQop0AabK5Y6RtdrVqcOwyJD5gCGyXNDDw1vu6igAb7Q4W4Nf
dtN1Gt0ncLd8RpLYuZCRHfcvpCT1L7PI195ooniuRKux8uodqFn07ysPxYh966lNvJnNfdsdoOf2
Lx1IENpv/FwoM2GeTSJrH/vRrU/EU5jHLuMEbhaQ/NcxMNZuiwzFv+9VomHe9KPWOBgQpSh73YRx
X+knTh5gfo8Q7g+pSXJk1XIMjzPtyGS5bgFWoOcYLVhlwCqMS5kw8UJBYjSPSw2FZk9mte+QpGHW
J9nHMFDgRBNFnzNse8mzon10m0o0x9JIl1vaxfRDoZMQjd3kcfrZWHwumauYFK0m+im6bynwH6s+
d55ypO5M8DNhPy2QrF6wY65v6BEYTAlx9kujInFgOtzedg6cC3titu6msTVuWH9H1BkEopaBsRjG
nWa2PKSz551jgtQCc7Y4o1Ea3S8W+zTy7OULPVD0vrUw7vA2cn78KXJvpQSaK0ZbvjRg2ch7dSb/
3pg7+ZKzjRbsrXp/q2TEto8IKf9+aBb+FlEK5pkfAcHYlNli3Kme82YNOpDXt7dcxZt6hwAIr9xS
Jl12oI2L7mxxXe5sK3GsBVHvolxMUxQmWkYuSNwyvUCzO98ibCXVHts1mTZ2VSDke8trz03dfnKd
nLO5ZFmD/KH2IFeNeuQ6GMNYL7URNNdeWiNWODELPgzaKVQCXc970akTnr8aYDASbuUZl4lWFlxK
u+wZ7NbIiUJ3wWlGIicBpxujMrmXR4I775E/8mu9ns7tTJbWdWOsLoO+d/N5t6ByoOUCUAiHmRkr
AJaFild2t/001q395CSI8uhRdejV7cXoPsSmEgeF68kNRexYn6txrO48lS4XRTsWYSvnmigdrTC8
nZHq3TEt6hHw5sJhZDHPwVSpegh1GTl34O4YyGIdqwh4gyh56emefiqtBExdmUMsSZlZBrNNqsdS
qeUux0ODpi9pmmNOgBSVkZNDf9BlddM3EisoFIjyaw1u7NWzVH1mC3e4pGcwVMEyr6ygAQLTtM6Z
SGPXUekgk1iaB6dAcLKT9uJ8WTvVoSQb7pwE3Y4mBqahiYyhJg2NrK72I7jNSz9bGTmVksnn2ERj
hPWwuSAC2dm31RKdSDZy270nJ+exScmJxQ+pPjtseo9MU+MFyqelPldFC2bOFvSKjZHL6EU2/a18
qj5nTeb2YTUm9OL1zmVEQBr8xp1J9sEfWmrblhoQFKEodxg6ibtKVLSpaj26HXKynaq8bc6yLpG7
xR6Wr1FcT9tES7UbtE3lQ5qPhK8uaCjIDM43GTn2hGd3T25Pzq6XKi2MyPkNhrEzdiXxT1nnaZfW
nOgs/0CvMS50ZoKtEhNp3dOPg7hlbzqslDGAdzmvgxwMTgeaoYsd4haYGFpEHAidWxRaQ5yceTWS
sqL/f+ydx5LlRpqlX6Wt14M2aLHozQWuvqF1bGCRIqA1HO7A0/eHrGIPk+SQzZ5tLcpYi8y8CnC4
n/+c7wzpWomibc2qEU9t4XaE9ethhxWGeqFU/1p6Q/MalBmxhsBQO4A0ViRK3kdAy+sdTyWIHoTY
04trd3BrEp1flOaL/NJAd7/VR9HelsPIRa1RYz5+zPFoXGtmzi2BgEkvW9OOZn52VcwG27QYpIes
tuO3BBZ1FTYrQxpDG5esjpnpGYkfrqYvlKNvsdUpMscNftpN5cXlgp9Ka95iA+0PGJgW/hi7jEPA
89gXTpxtcMY354bkJf+aodphX2QjSxCrMRszpgO3muIcNQw5Wzh3WoxHmAPc+iJ1uoOt7FwdHDAP
b23LZRs2ZN8hK2AkeDMx27Gfg82Fpa2hoGhjpENbvTs5jqnPuYVNPkzeGBNWHodtndvyOwBwAk6I
Ic4LLIDg2KfBcCibGWtxrRLaf0ojT78M0/iRMzLdOnaWJGGMsje8losmtAfaaiBe+iRNr3EFEuUq
s2KLF4USKM1ddjOq9dMSJBWWMs+WTxNZ4nugWZ9mubwq8pM3xWiOB9ZVr6Rdq8e1JVrzWwLi5duS
ZfIhER6/HHc8dhQEq2BjY7BYKDQkOLqaDb0Tbb1YGJUsQZQOLut4WIghIS8bKP1sM324Yppk3buL
yqjqrgpBYye/Qh6y2QmetRonw1YZY8mAoLdvUK/Lm44w732V+V3YN8bwlYRtuW3GxfrSBO50Ht0W
25ITmwDrB9/KwiJda5vEQjVQ1ZExHqjuifLKt0+znL7ErSYfJMGgO0MI/arPEue9kC7xGTJADIry
tc+7A/B4HVDpd9UrxzrRWIBzMZ2S4cPMZHuuKJjY0pMkzoz0NTzg1DP0e4Mlb4cPReC4Qa2PQdXG
ntqlZW09usjTh6m2lgew4PFFn9HSaGCltJ4M0psoMaBv9WGws5OCw0wHRUPifePHxFOuXaXLlky6
GA6ccrVL7i3Nkw7bIQhhUlY13m5PLw6Ci+da8oT/NKaOnA8mzD3J7/lc50NVRkwjyQTSl2kdUxa3
fWHHRha27Cw00oTedAeojJx+/SPVPbDkvRVqJEIyl85FZSbLqKUT2g27dmImDwhWxKQNG/Nq9ObF
wZnZGf7WLz2bBdGQ3xuT/ArgXQxu9GTaR9tG8bdWpXYQXnY/VEb3JIx5eKbZzd5OTNHDJVdk6wg/
4RFNU7DoS+4B3ZBQPmhxRZ+vRp5Do06GDMh9VkY2X9XttHBOqUu4zqHTxNkNTj71pPcSM3w2YpbP
LKi//g8AcL2ygLvBc2TYmBn4N8G1+0nZuHppfWv8Kp3Y+yZdQs87vXUFQe/SoKwqb0rQnPEKIqZP
GiZx/4NP7EEqdlZk8fCDXrxkgIxRemEaN03dRbRGQDq2vZ7K3BV/rJWAkM0fTGQcDMEp+UFKpuAC
WxQqJwTlQgBT1mxvek1/EJa9Fbas/+AuxyuCuf5BY65XMHOqgebmmT0YdNq1slTiGbwY0vQ/TrD/
0kL/UgtFbPzV0Sb6GD/+7R/+oOuP6vt//vvL92H8t+esT7L652wOZ5r1b/4SzvHAF7mcz4hMsUND
+fxvF71v/ofrwPaiauhHNMfkoIyJZkz/89/BF7mWbuCeB3hkQf9CCvklnEOkh1wOdUOryZ6pd/C3
9NDfTg/ZFLhYLjAbMUBEaP2tlJbMtizrnMc+Gpc4N37tsASY7XC26NKI6IRcH2bkYe8HNIO5SkjJ
gfCOSt2QB9ZZHgNxLEAqkKx9wMoChNIqg+fMH8t9yuCNWL8IeLhCHdwxRR/B8ML5Ow4xt+tO5CJe
QjaPktOb75REcwHaRVMARcdpK3XoYvtU+4WAGDsnPclEP3kyapbzDc8tnPRu/hpI+cykP8ZXHg+U
Vo8Txx1Zzrts0vRotHNxx8bOOI3NWmGhCJ/gKtfKCexI3N07c5dd+CuQInvdm/Zto91lcZtToqJy
eeg58lwtcq4hRVv6y0KA+4wgNj/G7WztMOUxiggGTBbBsn5yPLkD+yU34+SclzvXc6aaRN1cPSSp
gwvcUm2YMwSJPL0zzoGRPTVF42AZHKcr3553PsHGUOv0JkqmFfk7ZPb4ULDbvI0Zit3FSDygXdze
NnZECvnEJTiKKBBxsPG9yd6a7cSzdO7KiPdcRNYw2iH8+Gp9PnibWFkvoijag5GlF8+ezb0h0hs8
ttMYmbNul5E3pcRnHcqIa/BH9mXU+inmZOGOSGTLyLl7PARy9ToOnI82bbYYW20yMeTns1Vt+oF8
eiAdcVl88zDm+lvGuRN6f4OnNh6f43rWT4Hsn2ZCBmHAePK9l/l8MvA/E9nw04i95dpJ6ESUAib3
A/NCaKkeRlk/r7prCqaxUQOkS70NYU73JhGDe1tYWkzVtje9xX1s3hHjyLdO4qoLI8Xv7C/Zz3MO
BELcZcntIvPhpIJywwkfrDkn6UvpFjG7KheYZK3Fd4Y1viYUTYP28opjyrQqOROoKKc7xcyg+yBg
MbzrshOfGYeMOxfI8zlPOuuhcG0yYE4tLs5Ag204koqHLdlW/ZUw9Xc4seKa2mg21FL/jmz77knZ
kN1w6u6IKMnODi/2DV1KxgA4aAaFmaTikT0dsfgpLrduF5drdbsQ1UG3hZPvYreB2V3SWfueJgu8
IWNGXdgOGvv8TZH3xmbhV94C7gPZjsdev5uoeQ4LPdUvQH48Dm5wBe6m1ryVjvHG4OCNJPqm19nb
UDVQtYcAjAw7Ii/teqCcXDF6YrovTuw/JnH7XTcF/S+5V7bb3vbpeS+nyb9JS8IsdQBFIE9d85Cw
5tzzLwC1tob0mirIs+8G8qiMmhBc49oph75kkOYVG/IlATCj+gQPb/tWZVor7vtx9nhLwy7XRHw7
iXptpyo4zU3WFA2Tq3ZCD/azbaXHolim7s5cTL86iNiomDjSB3/mVJ8X22zgCbpRYHquBozTW89q
0mNaxca2a9f0uadpkYGF7sXuq9nZjMuZOgrgQZyDYBmWtIS5Jr1F8TxtAn2WO9C22SZRZfHK/pBS
G1JyZz/zYOiM1YYWQEPQvmxTzdnnzl3aVMUWeBhMG0n5jA+VDDNw1Z3ywlqiRggoozb9qZNRJVdy
ciTfAFSnx67UnaNDmeeVohn5WSYRcNYzifIkqqCUlZssafwtkkG1y9szfeyvZqzcqOkH86iWeNk6
/Klz6ejNlVFaXQa8VFP9pms6U4+ctfD1WLik+F2v7+6soLcefYe4w5qWjFKHWvJwbpd5H2s0j4dB
WRRvS07JgK08CRvNgOHTT+9lAfQ0BVSgNjTk9bt1jMLWbbpGppg/RbrgC588D0RBQhjdy1qxVzGb
+BhSuIuZsNikbm2suS1xjCvG/g2plQsZw3ceLATk8Y4f6qWDGF7GjbbArpCS5ESVjV8ZrVjlFnPM
cLFX4OqUGA+J5/oHS6v0c6Z7bdjXfr4vPWrr0gWrSOsTZeEBu609eqeMWiPD0df6UZ+xiMZBkR5d
jCNbzsv62R0lUKKm93cD5u+L4OB8VlSvbJVZ3sfuMoceQcq9bDlJksTPPkU2iwYJyrdxZLH2wrco
I/xqHfxXA/J+Ds4q0pV12xsNbc/KnEOHW/QqbZPsGpaVHxYlkwjMWkHkkFGjCKKLd1J0Z1VVHXkU
NXxzml6FCVu+LbaD9jJa7HAXYafHfgm+EESrjonTf+uCRGxFIb9UFcEbHf1uKwSPG6PnfN8PyUHI
0oqqmEOiEd+PA13LVkW8ChKacyftrNr12nCdzPk9ipt2J9P8VvG9nmK6vLgby+vEq5adcgsKYRUH
KB1JcXAJUQ19ZBcBOVpnIqjR22p+sgvCHlLwvd53Ikvc05KPs7iaBz1ptiZPTpw9mSK1AV9rPefa
RMj0rVv7iw7XL2iXBxLCgfYKC0TNUQYKZomQnSgLn4oa1LQqjJLYkIcHcT60TvbgeL2bR8u0sJUZ
6A25nsgbcVlhZdiYeb6S0Yy++j43hiLvIJbuxoS4kUbwm5YXqxXqpWp0GHljbpwFqb99N2sSMZAh
oIsUWkwn3S0kS38Jp1FN6XjAJbNsjYoV0y8092PO/TxiP5efJj0ghY/KVd37i8hOlV4BeLMczLmB
3M2mn3zrTKHtcSw7t8Psdzvpd8bO6kdiHRUtzpuis/iCihklELxA8kxJB1TrvIKI0KImwfy27MNq
AJsifXEElTXCAMWAYUUSV2itc0+1cLodceatlLFZwMjjyaXvnGHtavZnRgMoKyLbLKjNJw4UdRJh
+JqwdKWzOFMOoR21rnNXjoQuio2OB+nGIFYHhnU9DMGv7oJt4wdLHxFVc6lS6/Q3ck6oUCrXc8Cs
fXefB7mEee7OWdgYgbOnGJqCPubLBwqC1bTpChKLG33uPZS0fh5fwCEHUTwEwKGpIycwzI//ulgZ
0bDB2dNaJGikAKs+b3wAjfx9uM5DYxE7zLS19oM06NZSWkX5jbsqSJrXlWGFr/5oZ7b+gm8zDxNw
uGmYCMsvdu1s1xOXy6iHWT+OryzeC7OTgfBnYHyxPaT12XP0ihCRiDvsPTrt8kFPKEuOgvbsXlBf
P44uZcG2m1Y39Hz7IMWKVGxHJ71qHdnCfajGixQeGHIEIGQ0Jld3Q0nQGvtoXe7tGox5wI928sXQ
TVEJDvybin3SPey5n4CQeucY67MbZvPkXQZkVTeCdJYEV9AeaUOfvVdYmsMLpU+wzhLH3pUaWrGJ
LHbsKc3rQ+jl7psFgE6Gg0+sMyOlwLPEDK5ouJy/m2ClMQZlxgfraQZRTTOIx9ruK34oasULCN/E
Yyg986NRR3RJRmJ6iJXWvTAa5ChX1ptm9optYWdYCFUlVtv/dF68SV7PqED3A2LmJq+lAvRHwURT
tOnHjLWyW/uLbATpBgxMa7T9tjOnMawaJAGLdvOthny7M0F+fjM5AV8YTi7XPkmYh1Yyvg5Zz/PP
ZjSGx6DWy9fEoKUSOTwPTohn8SnD83/S27jbeVyvZ71L3DtrGSUFkoio5srr0ICeYmyy2+1cewZ7
f91F/40Fit5I6XNRVvVOuq2zz0utPiqdvXgblPIR4dDaaXq/HduObqQE7SnPq+k69zzzzCIxRdyA
3CzeZLJhYeWzCoosMNq126LKXdpkjKrBWTx3m4Y+ZnYMdn5uM/Yo9BJgEgnG8mtauM5qcUvlNsON
/DmNjfzmViQvw7YM1NWES9Layd5udj8Otf86///F+d/AUIuR9v+d8jl++0h/IoH/82/8EvIxoHrb
nPfJ8nChEOn573M/bgqiPPAw1tM7Maz/e+r/kZ0n8mG6ODjJ16MV/PPUDyMc6xJDXsDdeDsZ+f6d
Uz9j4p+HsJRz6ED3kCWw9xGd/y3KrDDiTsD0d6+d1NaOSVyr7lx7M6cFzWcwQFhUYWy16pOCPFI+
4Opxgi/YQ76ngDQfWA0tJ+SGf4S5oV7IZWZn9pKEO0vTL2MmFy4RvIADRUOfwjKP98SBk454IDr0
k153MXwq9DurOsNCG/bTVOb5tWemQbeR2KV32ZDWx4oJYOjlogureW1Cq0o7MvC+7tIMcXXLRvSu
oN+R1USX8aW0WpAeZA/3szt1ROp7+Q0uzrvN8O2bHQz6Wykbb68z/nxHdNY551bu0bWGD4tZMZ/X
T6GMeSZdC8ucqgPLgr3jh9KugYjFijD3xAPYx4sO64e8QU9ETxjVxHO0HLGuw2+90dLUfJnolrCF
1UZGxnF/yFL9fh7q5n5kKxFNo/5Cc2QA80jNxJWUtW/N4EUp391O+kyl5lTdkf1hriB68xrmFakX
5johgdrsUk2NPDqkga8CrfwIxo7nfVuTrOJocaaEC2BWo01fhsKLj3PsWDuMHuV3qugxU4N++76a
+DtsmH1zCMzsuxAmjxuZqVcHWho8ZKr/oET7SdhVpf9umjyXHC9HNfGblyqrXjqNl6YFZYETIjlv
j7A+CR00W5voPpFsDykaACs5XvCdjoH2E1QP3qLstbUibY/rFfnUrRtF34hRY3AxFQfPFBxMUs8b
efeTF7Eln4jkEruZI8pbQFu5pFPv7cIobud5WG5imVKDt9jdJaVBd9iwcXZ4FZLJgYf4bOcl0QH6
IrIHEK3lxana+ZLOrnVFzVS+c2lUupV91+/qYVBfR9+mF4ZkCY0uhdZ+Aj7LQWBJ29hXXi4v/RJn
B+XUw2WM/QWzqiuTb6lZamHZts4hNUbQKrNovbOBvt5sstHTryVCx8btgwWdoTb1GjjKFCDzDOLZ
UvSckvufzV1hFd0cKhjWjGnTaYf44oSFVmmkzGmdO09VpXJOOzbD0YlIx4qNumQdb8rr3PY0LPPw
lADZprmtMNPPRpCh9f0ygOVJwBfwwTd3YWNupSlaDc91d2NR12xyNCM6ZLVWu/NyPXjJprkAluad
27jObivfT3clG/ovE6zUHYcQ92vRxQuG+WriZDgxQ8W8y0jRGOVr0NjWrVbEXoSUGe8EEFogZIWc
z43U7DH0/bg5+WyWW84aVNDOwlxuPQcoLGiwmnOmqiNKNMzjYBb9PYddUL6lFM9O6jR3WVanyAt4
DQBDJxksOWsGexb4HKADPpJLRZdOZiRARPEkkfR+mqnvm4h4j/G8zaS/PE2qAy5BPoXTp86ZFr73
ph/t+Cr16/7W5QRqxH7/SCrOvQ8scegZ0NxIoTMfUN7JEdzWGzLh6pjFlTz40m1u8woNx5AGGovf
+vNDMZTtFSU/hOPMLn/PdKMj84imJGQvaQBk2nOs9cB7UHlnhgGSDzKgfkULMnUvjbxL7K6/zMyU
QxZP/XoQ/NyNU1MhVGW0mGDOokha6selM74Z0nGvW7urj6YxmcdqQATMjIH6uroFaciPvO9hGkRx
1j5qXguJYzat8WEJ0vl7pbfQxjRvPsw5Lcne3FXEIY104jxipvgJnGLPFLWN2JkT4DeX8QzEUj1R
IG3vurZOsMdP7pWuao35BgtRkKQyiqmLeLMaPT3MTCFCTZVoR/Y4a1E+OO4bD8HlAIVK+27kncZg
PbXC2bXFZx5rzbUN0/0ercwIgan8mNh+JEuVbDsOdBEQM4r3pgE+ANu29I2IxXjpq/J+aBpBbQ2Q
Oavv27NZJuPtUjvNTip/udWNLLgZ0r5YIycoIHbi9vvKBr2A/OpHNL+wH/NS+3sy1xMTafWVofU6
2GdSvIkLmYa962iXVLPZjrFrf2kVCEPbaJd715dBNFqN+yb8lHsD8Fu0ONAVSFWqK9otNRYssAUS
nN97UaL9+h4YXyOm6nnRG+NDVokNvmF5Av4Zh6aczYMzuVQvMkJ0HrLMUFGrLxDug/J+0Y0juwcy
Ej2i/ZbjBj9wDQQ18rLpTmL8edGUQ4uVQEab6fG7zcsBoVqjN+4ZIkJ3CqzOOyV+CqeEyzE4sG5q
4TDql8HTrPtlEbfUrY3MbHUkJb6w0OHaI6FlVqeYAmluCcZqgQEbfGE8EPjafUETcqhk30A+sTgo
2HXiHzLlih0SdrkdKIALdT++5EVb7Bt3QM/RwVHVi05JZFvZR26odCcqsiGgBECfqrLbKj+uyB70
LN8ylh9pprd7bdLd80KU/avhleUXrJJ0Bg793WBBJ1h8+0mfbXDKOLEuUiJiYb9Z9j6T6W3neNPT
UKXi5LjVR47UcExzjyBXkTX7iXbvg1hW6oLSkuGUmTHzbdxO90NSN7dLBw3b58k1sYG/M5LWfGOY
Ky8BT2WCdEY8vRhZph3KZXIuVZvlJzNzdo0F7Qfr5Q0C8DPEVnuj+1WJ4GrFGw9K62PgJ+1ejH53
0/qjEaqhtXZ6F3/3C2iBbpKmOFFASEtq7w5DUy6X1LblucVf9joFq/tjmJqoXUoKUzkEfDoU+aUV
FZZmkXsP1EY5u9EoxpD3RxNrbl2hidbbNjXe48HWNiC405u8bS6lJIuoVl0cJ8QT5pb61OWWvbXR
8PYZPoNdpor4vRez2tsq69+VVtODGwgO95M5HT0JUgLUwbtENEYDrYxdwkG7IIhK3iP90IQzR/1s
6RvPz5dTEIA/KpLyrEa86LjxN8R6p2u7bJIw9fUmTHWvfMKTUD+wqYJF2fk86h2DcEgmURRvGg5z
+wB6zHWZ2LvKtdq9T7TyStLvGdUYEPZpbmMgTM3k4pFK2fZUjh6SOKdjfZK5e9s5rTqmdmnslC+w
YeW5E0pbvjMgzzmNkcDcS2ksN8yX85ASLuPULH29c3ypPuC3+Fgpu4VNSjG4Dn6OpKvX2YodOc2i
vtaUB7y7DKJ1trkfVYJ5hjfyWYmq2+VVDct2rrX+iMjlh1VeICQvfQFDvuPIB+CkqK9aXIuhVUA4
l1NFMIsW+G/x2JuRTXkkjzS3p28n0DGrFfkN+95wzPRyJ01MHDp8S/i6sXFaDYC0RrHbTLHKH2JL
0z8hdqFfU2QBLFY2EV05yRa3WL9h69Fvh7K4c/DmII2hYJzjeADQVJv5UeenfsddkRxIOKGP1wIr
DgkFsqoDk/Ak1Yaok6WAWsRE+rVL9bVRAjEDGUa/81oeSBs5J/m1IUfjq2q98maBt4RKZ5ahBZN/
F9cLbJIHX8Uih2M1+WnzNRMVuA+krjKoHj2VFoV9iinEKs6j8oPmUc4T31qDx1Ojvieo2Slv8t41
FmTP0vCmsJa5EzlBVnjRnCZ1pNFaBvErmdX31iVwJQPeIXsE55W/07xriYzR3ab2iGkGKdyYfIXV
zc9OYvK7q67lT4NXat4s7jyrmPsdr6hdYXWDyJQwAck8p22orFM1mUKdit1M+UcXJCd3MIe5a0+4
j0uKya/rHfebjV013ize0p5jJ5Arqba/76HlotAB/tKqtrrTZQptxUKm2DSpFAe7HIHoEYCL2PWZ
FJGyhTHlsObvsuLg9qvWWTrmWa8H+9TrGJUyR6cFCRdD5LhzRbpN4/X0om2eVDbZLxR7UM4x0JLm
bZjimptOLyn/5Ju7J7QGMqAcZ/qK45sk9/laabdXD0oGSTTl9HGGIy0KV3ObmGE+Qh/tLUxUoJl9
V0DZb0kU8xRee806ccwHgoQbJi3VSVV5/pj45fg2svXkzDRM11gEkwfKcQcmnXzZcUXPFFRCTl8O
nrZrLZ5kv2loINy6otWPcz50D3Fc6SNQYv6oWALnSFC3vh+TgGlwZ3TPfdpDCGj97rVukueYoOHF
po8DNbOm+oHwDQSLOtDbjZj0sxdU7cOUqgHYDoYK74r2KfuuTrsPb+lLkI6LQn/WUnivvtR57GdL
YmN/ZLp8U5Rz+ZLrbf7k5zKmETig42AWhrnnKDQ+Fb2gDRenf9jCAzsPVdJSfE5gMu9zbkKyzgsu
vNFBKOxg8SCxdWYUp478wrhKZ8ev0SvRNwqzsOcX4CZx1t33aD9AaRfis1NOv8fgI8eZ3hIcJfra
MV2W/OKkU3asLApcSjxZuBBdLiZd+1L6zfJE60HsbFzK1YFGzCwaOhPWl4KlgpbqSeo4brzlRpub
JSpFG+9Hcyrv63WfZC1cV6jK48bo9OQUmwVWIXa+ZNKD5oBHyAhzjmUN5891I2s4/YUxGAOpWnfW
FSzZBqh6OFuGjNHtazPSvXJjFPlgUT+BZf+qozcIVG1DVBQjnTuQAkASWb5pc63LWyPQ8oPL2Ix/
cNLml7FWrXpcpJbzfNVGDrzjLZMJotzMNTzTa7Ed9Eqe+Up63981CWTO0BqMBsH6/1Q2hYL2qKnr
JVEMs7wOX2ulnn8l//yB/f+3ZnyMrwThHZpH2ZWh7vzOjN8pmZeWAbJdG5xICzB7GzCRPFUdNd9H
p303K2s/5WsAw9lpdr9zUmPre/BGBfyABtz3pO2DJY8of/iLrNbPmQuONut7w5hi2C6+EVLiP5vu
KwxhtR6b8rpt+2uvZa8YH7Lpb2XP/vEihm1j09OJIXu//QKcfFQcehF6MxCM6/9crdyhy/5Lkvwf
gYdI79h/KklefQzDx1dcgN/Hcfg1f+iff/Of0qQbUIvgu2uoC1GOTkEuhl94wdZ/OCQfcDXThAuD
5Vf8IXKYpJ+tfxSg2SQLfxInTYuoE2f8XyjDf4MX/JtLlX+a8DjmAyKkvJge/CYFRk7b1YpWY5SW
lZ9pkwR7zScBnPmsEH9+x/7RK5mwZoDOkN/4HUCU6UptL8rglUyGZZyP39u6URsZp+Ivgjp/9Eq8
RmDpIN9/j1RKRvIdjOvawyhB+sZCvxkm9oFut/zFIvQHLwS+yaRkmZfTea2f7/PJKw0AmUsLmrP4
LMrik7D/Z85///Y3x8us1FWPX/x3v9HoErVJoXgcYk0GNPR0bAhSF2uJyv4XXx3XKl2VHrK3b/zO
n9bqHN5TPtEUV/1FrRPIuDH9S1/nf/Gh3J818fXC810TEZDfyXDJIf783XkTZIwRItsBt3SxccV8
T0PtM9yW5xZfS/Tn3yB3y08pqB8vZmEMpLiEBfm3a6VmOA33ZoPFhjlh5OEePuR+F7MPyD50f2X7
2L214aQ1/v1L0XeJirEjICfs/vb2AlsnTJjQ7aHtsuZB9GxFnUArnrWc//fnn3H9wn6d9PrxGQGI
rxZDXeeu/vkLXbD3zVnDUFyjPe9QkevZAoKJH/78Vf7okl8x5b+8ypp9/FWk2/cD7ODUPxy0QDln
s1fPUyXr04+e0P+/V/rNygR9IG0mSvwOaSnmyFX5x9JQff3Xt5fxc2yUdY8uTFAyxiqIryiP9er5
1WdKhIxzkrbFYVxn1w5lKZtRAcjm7PvaZdiSNKudqHNJzZ3T04aV9OPpLz6r/vvvdSXK48UKiDSC
lllvl1+9hyauHL9q2urQ0ieALjUBHpvbUd0udjVvgxiXohEQQukCxznosCwidj/B1urs+jR1ENdB
AXtq6ysA4X1Ty69emlXMc7Cfw6s3dmsd2ezbBF4XEFOtxzmph0tKgi9oOqQ3/sicxtVWB6ISCh5a
BxI21R0JMZOJk0l2KM7j96kC8CEr5RziNXDSzHWwx+Pnr2RZNwnhu+D8KVYG7NRhQh/HtMYXU9YY
Irz6YdRy+8QJXn7tYh40xujy3l2DV8lJhEhcEOT9PM6pDGlL/QtUWTbAeNUgk5AprGI+dAEVfYfs
3d4k5tJEo2M7bjhZMRUahuAkhdY/BnS0wVTr9Fht846QF9FQjYJGPt1SsXZW5Imol6vNkE5J7FB4
jrdAXwVDbWWseFiSPFNgWCe7IsWPS4UQsT42aFVsFP2AjDTTbfOFIQItRAk44cRvymdXkgiHsNG+
dW5lvsR8dmiT0iCogilo4T1hK2TwwgwttKyZ5YawALEzdqbl8yB9IGOASe4AdYzvMV/NOc279sYV
+SfFjLSH5675QlnQpxpk/IDxoTnKdXUGItac59Jsil1f4lRjeQlK1MmMEnr8/QQBDD4tQMxsPyWk
99iJMAoqTVGfsoSqsg0hpOw6AfBzk7tJ/elqgXFtNODNXFE6dWRqkr7JH3deSSXhaaH07ZK6fGVF
xpcQC4wd9LnN8OzbhNjbisZLGIm8BwtVRVXHaQwcXl5F5YgdkiRR75b7jDFNe2WIqQ0iJkTTa0pK
JNiishMSqimNWTauXvcXrcmWFx929qOqi+rT9FIQLkUyb2ucWhtC+wzuciN4JvxgPDIZ4/pxep3i
m952poIkWDoBB1bkEHsF2JudOj/BGKvCYeDacpwCvU0gO3fJBHYQRlsb3lA42Txll5kOwZH7HpWs
lG36PNZaMu2FX+cfgcSbGKyoNpfyEiIPwVTuf8SrJRvy1wWu8N5pxYh+pPVmhlmQVPA6E0Qlxw2G
8ObiovqyBO3wDf9kc7SJ7RhRKZ3hiYBS+5bktnP+kZuiC4o32wvNOhFJzubIlkAOjIJfwkmT4r2j
r+6k4qTe9gqPFvbHT9NPA3oUXevEGzF2RlLNkTYPxCHTyk1puArUViRlsM81fiFh8fQVFgtr6vd+
5JC3fcgnPDJR2qr0e90GzqHGtYjonbrLxTbEazvM096qGjSuAEoT0phfn3CxfQ4xhdadhqdnMMp9
0CffR9HDNxrUQ91hUW6mLyKdsWXVLgfJuHXPPI29u1RwUxo1b0s3yulqouByCxK93dkUZ4OC9IoX
n4HAWQ/UriKOGSaLIi1ayQIAbJFhDLXGcu2H6YmnpGU7R7XIgxuLfe2u07jrC1Gi7kxtvLEGSI2g
w5xDJccJADaP/tbmc5tV/pENGvIKAtdHCVrizpqIyMFFNh4psrVOSnBFFSyolDKA69bLuYmmmo/v
DAu3UeV3cHdrIb8yQgFiliCih6ld+HeGi6Bg6+WH47BQ9iQWQxdQ0d2CALwx+36OYq+roQ9bwr+L
m6K/GFKwkv3Y7Img7/Ykt0WUzzmLmCmayJW8dN9AVMkGfwxNw5BfU6deO2eYKjN75wqmyKfPyhur
HZtdiuzEj1C1N0O3bu2Jxv0Xe2ey3DaybdEvQgWATCCBKVuRFEWJsmTLE4TsKqPve3z9W6nyfeGS
37Oj5ndSkwqZJJrMk+fsvfYpw5jMSl5HKNFyS65TxdWJA+DZudtbyHdZdccofulSBtnmyGo16GfE
wQN4h7g8vkucKdwNMwlEijZBjf++c+6S0Nm1kvijodTxvGJhRexKcp8Wt3yKJ67QokAvM4RFxG60
47rnDiekUzQN0l+3+DBUoWYtFcUxWHoim3rWHiNk9Rh9Xvp0yLnmftnvROLUqxBRw50IbPOLb/Xd
aTDwDqVlf/GYEWKpA8yZRKW/z/3QOJP/chGxGD4ZSdJe5inqzsQ0fYxNMX70UjIYvZkxCax1BwQV
/Cq6VPmlMprgPktfFD0kQEkMfUM9huniJ97n52Ywad56UJ6iMK/XyCmri5xbG0/yDHDelV8Mp0Sq
oNj00GjKgxFH2XNdsPI2BSuOmXvWB+aXFeGw3NLq70XWlS2ZttyDHce/kVysCbKYJ5lJz7iObnLb
kc2+iPyVjY5/XOGrRLo4ZxmLWcI5E/WGnTA2skIzPRRjbeJVqMAdF2jJaMrDP29WwJnjfAWQsyPX
KhhrBNS5zRSHSdRYi/yIAIu4kNLr66PI2n6D7mK2s01QE0LtnubRnvKFzSdrWP8YBQfX2h7jkfiU
JDL2Mh7y6Dgmvhjoo+a0nY9y6MsCQXeP+I2xIC5Hd0VjVn3D1hB5K+TZ+V+V44IOiEN1mDya28Q6
6aBQUWMwRV6v40M9laJm7BAL3heERGEpkL3fI6sLiR2rokZuFtFbAyZIq/3spSYzmnLKHsdETNmq
slwiUKnvJeBWNQ/HIkvSTVyZX6TX31SoVFeG9lRIx4iQofB+sXAMD8S7GGdLFJrhr/KJvdqe97yn
NqnICWC2PvO6G7uGITbVwStOm3SrRtJwbbMk8knV1qe8s4mCZY9Go42XdlNI9Kdou8Vyx+safg0x
IPQEgyMtzRRR5ojdjEOMgNCD1Z6zvkmX5VviTVhzYKM7Oko/czYVP/gm7UcMsN7sDL9pX4mfilFd
EFuIn1ylTFoX74rRaoJd5sk+vYkQNNOqb/Nvpai5giORf4gy6XPi54cagRI9sbq7QXMBLGY0l8qi
rIqb/JWNqzh6NoFks81Rh3Y4PmIyIpwT+AL/tmiS5jZ1IWR0Qw0i4Y3qGjII3Qug5EhcVB48CmnK
V9BSSNoJZmM8bVjqgXkay20wT9mzGccoAPQaWDDy99bjgjLjN6eqn/KUOBwAZuZE5TsCm/YbBfCH
whzSWij71sxuaoqJDZF3w7kLe1OR4UDN1FFm380CKRLB3NRYqd9ob7PtnDqRh/HK8n93bn6nJdOH
FbhcRJIoGkb0Ht6fm0E5sx7wfcBpPffmfGpS9hdMm69F1l+DmS3/12eTnw7qPAw0M/kk2E+0nd6d
jlo5OHk4VhncCgrSIuhJDCkg6RZF9EatK3+Hz/m/nj76mZo25Qvxk1quIL+OOV2asbjWcEFYMUsS
vIqh2iQ8WJ1R+tsUut8FYtUI6IUtmBQ3y91H9ojwxEIsFKSZQypcjSG3pcb59fX46ZztC4SEjP5N
3hCuy7vr0c0ustTYim98ztt7xwjLE4Epv3sHf+pY8Ck0KiAZKQmi7f0r2Mf9ELjES9y4CJQRF7Nq
FLTh17Xta7FxWgLiYF50R7zp8OnXP9D++TxMfQBJw8MpaQn5/iw6W6kcmmyMbmQ7hsFNJkv/1ggC
/3PeU5e25ejMF99w/GcE088pk4dvBtKNbTcPDnLmsohivdgxUK1JeBTbsCOmXcoUAlwb+rdgI9o/
68AKuoOGbv83h+q7EfZ3Elp6aNzI/19Ce6Lt3X9N5x9b1brxxh99b1V7yF6VT6Kdr4Dua4Ps90a1
5//hKGYNoOx8xtmW7p99984K/w8LZS29E81Fgujn/6+KVriwBAm88x1WTfBf/NW/aFS/sfv+0d9i
noJhgFxi3j8kp/qp/WEhFq6IGmI+wyMemi7iDM1mMFrhshN4JPdxjcd7oGlgjNOhqtF0rIhl8K+4
IbubRuWcWBhg7k3G+ubvenw2v/GfrTebH6cnMjZZYBZ5W//8ahOoFNT1nntQA+Pqi++n5sWjiOM7
IDVKaU2Uj7ElDbmNMYF0oSDBqBpQHcCMDv70isJ6aC3Hq5ttNatcfVwIyLibIwJI1tC8rZc8ijq8
CtlAXO0yuIa3yRx6e5ecuXBrIFTpDO9mTINlI4k/7aKNlY0ynRhmI/9/iuYhvIFkD8qdIiKrr17Q
ciCSCn2PjgT1j15DzQ/xP9lOBBvXHvqkHn2QJ+5ZV/snv8T7NjY1IfHwiDHn9WNSf8mx4Vw5GZVM
oyUz6TW4dQz1HtNvazeQBJMdUW+R8oLkEWRr0guGvzUQlzHEz9cEzxxbjX0TL82R0sLa971ov8Zm
1Fz83Jk2btKemHgeK5RNH1QRT0wpp3mvWkp97CTDcTLI14nVUlPRAmK8q6WYb4swImAKRdQqwiJx
NSQmS5G02qBSlhvtucGzF2CANXtnPLN2Gw8LCV/TWkVzux3jYboN1fJockAmTYvD0bT4BXP80bXC
nZcaEnUUowSfWN7VhKqcpFdhxu7V9NLqSgK1IF/FI2F2WBQyN9FY6VkUMJefEm1UmCDmk0hbb7EV
2bTysDPM2thQgFQ+TNrswKS02FVvDgircSlvtS0CNLN1M4mg2jKMNlZC2ycmEyOF1JYKS5sruOo1
Ts+02WEQNY+hJfyjb2Ehi96cGYE2aVTarlFq40b95uFIe6N6BHiz3Alt8RDa7EFojLuT2gACgB3B
ojaFZPPQbMn/wSnCdZc7zIFIEpivRK+pNpUIusDrThtNFm05wdg93jETHU7O2PbbTFtTZB1lW1Rj
sDNGZJaLtrBE2szSv9laSHflkX5zu4xvzpdFm2Ac/hEtcTRgQfg4W/zRerVDomQhVOGdqcPgXOeE
UXnT1NzISptsOu23ad+sN4GKrIM9uEmzKUcxR+ulU8UMsMi2ObM6LSZCu84Vx1Qffhc+K3/eZCFG
7JXbBsYHZ2qp8aSRdQd/arCPV07pkOxoku6EfKHl1JxFtwRJFqcpQikspDbXSwLeknZA0zvbDlHc
XiC/5qMcEY2QI8REvSpufbxWXL6lTs+cLwK42qTU2V6s367Iq+UqzGQw7HVNjSyTEcmDKszYIam8
dA9p1zz50bh8UcMybYOxlQds+QihXcSCm8pC5slKOL4MEREJq8pzkUbn4YLhM42b1F+HKOxmJDeN
+lwEyu83Tt0gey5RPA14EiuJU3gZCdXzPcWBaeii/FYz0+wV4XXDoQzd0tm0LCJIIdFsXchVcpvV
QNL1pc0kLr1mwPe2FBGnv7loswvZCgi/6ElxeCiH0tg1CMKGDRE57p3LcnDKCX6OV32Q5c9BV9TX
uBdduZ0IFDrDgK9vDToI7UaJ2rzEXlJ+UJgHs43Vx3Jjlvx/l2cUNZo1R0csiAjW7Ci6j+0xfapy
aM0ecRvrcCZzDBMnAntwPf7KadP0K2A6o4AZEwM5AVfi3rfxnBmfKqBf43qqa/9qi9GLt1izQ25K
RQbRTpq5/1eziPo459b4gtwz42BuDVeLY8zNVKJQNVyD7g9QrhvTxviH9iSSp8gfkp0ah+aRuLIl
WdGeix6YSdgfSzqzVzVPORGJlEf3DPwr8p/IwwIIpKL2M+5MNOfSKlgdGoB8Ww7S6WtE1rOFfm/i
NIKGEokUYmVST/HWkV09dxEJLZ0B12Fo+Tg0u8M31nf/6hvRuKsVukIavXxE6Js09VibdzAFkkOT
EtJXj069ZW2YDolKg08DfBn+w0PHOs9LngrBaMLEDL/qQfSt0SbaBfayWt1aoQOdWs12hHGxtRDF
TmMcHIau7k8dhNW32waRPjrlZmNA5xP8yMFSW8aZXyE9jJvRI8YprSfxHFsd3K5KqXsfwhafmn+1
a2C7JI4QYDoZ1W0SsPQvTnbLgSj4OrXEr6ieOHnHwLJr5cbGM3FrVJVM7maSpfayNCr+YJnsC8EA
3NMxhuCDSNZc23Zvb/Jotld9w3+YfhufkzGtHxpkzCfp1DKDhB8VL9Lxh68DbRF87o7aNBjm9rou
+ZIZafmVpxRfoJxVzNKRqMHbMlOJblu01RCSPNGchFdPLa0+ktfWVrsouSUpbZbMVBpfIy6MGPXS
0pvPbtJ1xbZ26/SL7FSYbmcfpRAn79AOEHsbM87sDDIsSTJqfC1aL1v2JEsOBqwys3nB0pM+U8Jx
u9CKymS4GBDLr7PpPqZTgKkuyRGSCtmohQi/SJzbGBDPyqLwugRpIQ+UWOXnuQy6XcdMh/xqk/uF
vnimaS6S4rNwaJAZZjz8aZM4vIWzI/Um2uRnr26t25bljLeonRe6tehZV9RdpDrSLwl4QJSdvnLY
fGkJ5cM1yBmE2ES/OiYecqEVb50hEVARlEfwXkDQmFHW+RUfSndXJsn8AOIlfpyywRQbt7XQ0DUZ
DXm6LFfS/9isUQ2dsTRABC55xW5jpgPOxp/atkWRGgvc0rlEMYUQfRMks/o6JlONmbtmyNcshn9U
nHt0gelg2MkTjpuztXRy1YzNcvASev4EA/XubYcNWYLlyHpcHsai6pVKkuG2thYHdSLrCCmhBSLi
NeVJ89FO1Gw8DCDv5L5n03/grUUHYfIMEMZcEjc6JA07gcSIUd9gApETVK8gQhGoJPVXmQnvcZos
uSlrhQ8HCIh78pqUhTbytVq3dLPk3ERYl9cs7fkdSYTTc0NU1NUSo/pcBzjzS5fZJT3z1PgqAeMe
PZpUBVOrBuWoEeamIOhpYcuoVdQTm1xZ93YcRjlxbMj8w17h2CkYQ6wzMzQPlZdkJuOawVihRXdJ
Qe3rSHQn15vt0v27yP6vM/J3xzqGwky+//9j3aH4k9bO6z9OdX//zX9OdfIPxByAa/WhXgr1w7HO
+4NWEtBkIWC9aY78/x7rcEDSgaHrpRSnt7/lGd/NkQLGkm6H8Wec7mzaBP/mWIde7f3hyRKWJjfr
/hp9lfeHp95uo3iJJuMQiGXaiDpjUpKQLwS7VS8ZAC1YPma9krQ9UQ4EpdoEvuiVZnlbdCy9/gR6
JVJ0qi9LMBWf/beFKqRVEq/4q5yVgJUsJ7Pvc+4wEqfpaV+atyWPYZc4Y10kpSh9WxRbP3P3ses9
qibNrg1zn4s5vOZ6LY30qtrp9ZUZJUvtMsAk2KdmNb1iS2QxZoTEwmwIvUhPbwu2eFu8K72OR0bK
WiWanEbqTKapPnHFhxTPFIzdzO/PqKgDQUkcLMjeG3DE26xEJLZuBAlEKygHYl9Dt+QcoXcV8bbB
iLfNxigyADup3oMqYuReWK4X2s6zyfGEvYqh0PiVMoH9q4uZkgxeOJ/Q/dcPc5WEr8SMseclNmVf
TY5ln1drV++Kk94fF2cq7xGblj472MSOO+ej2mdTnN55Ip8eJL3sXTV3m5kNmCCJHlMjqquh6EnQ
kjO1X6zurbedO2EPn2C8rcSUe/euYyEL75LuUcwEtcQsz1s5zuImWCqLFEVOpkeng6qaQMk+eW+V
xKKLimGBkrAy32qNWJcd3lsF0hhz9kwJ2z/2ukxJeouKpdfFS6zLmE4XNJUubYrCN27HhWMAYV3u
qlzAI41TsNwuodV/zMgjJfDWR/40Bk19Quk/fPNxFybI83VJRZ0bXQZZZNsKV12yKUYfrwL6v+Gc
gXvRCe8UaLUu1cJ2qp19GDMrBYUxtp8TKCLZeiR2tNKoifCeXOfCIkR0jq9RlYqPdpjHD/7i8GkI
zppHq8JEybIqT9ZbNRnpwtIQXYgLiWrT1mXnqAtQVuls7ebJ9GIUYXMUulDFEQf2y32rX9kDqGVH
Xdbq1AJ4BB2H309JKNz76K0GHth8Cc5ul/SrfKuS+4hRRmgu+cbXRXSty2nuY/qEGy+6V1PSnltd
dqu3CtzSxTjBqhI73hzmGx7X8oOny3a2HCp4QxfzVhnKM6moPbm2SJXYo1QZt6sx5y3/NBVWInWx
SqQFl2dCqV0d/YGGTXUsCyvsutXkD3Pi4kkDbpndFmyjkFuJe+4WBrq0W4IBfcIV7KSYjxGyg5t6
dO8twocZ7VPpCBFjHyUVjeqBt2fbTn32QmNzXllZADxG9ViX12lll9gBibPte6evVjOl6LqTc72O
yH2+k6DSbjt8wZxqE2fVli1jxxQIsR8M6dYTGAob3pdrQAI17hrc1k9TMIr81u07M7lXcbtk/kZW
VHmPcmmp/MD0uIVzZ1u1cTP2zbMEPPBgpJ6fomQX40E0w5GkBfdcoifeQ3WzN9mk670+nx/q0rOJ
6svqVek5IQ7INntgXou/k7JmLdMkJtjZB9tDsuQGeeEqD/BaWHV0lwPF7vNOJ6rFt0NyRMfPvySM
et+roN76sf3ioplfMQQ7JgmlcU00DjhskCquoY9IrXyOsOQfAizOa4vLslO+115iU75ACA4344JC
qRwH45wsVoBZiBJx7s2PBaU9ZoaAmzz/2bQgRReuYdCZpyS2OzhB9M92Zhs9TSIqVllSPntk3h5y
r/rqcMe24DGvJsqkTUCIYiiaizsmyX1XF5/Q3zN1nE8qns1dbpaPQ0yPK5+QwIzmjPNvTIeNXWSM
8vFeeoQyWykOSX2UGdparZbIPYPjaI+NaE9dEoQ7ZCDD3hYDZvh2Rr9Bs97ckG8dHZtQyZifVy0v
eBzaM2cdaCkj4ZU8RieXu31rhg2MW6MvruZUl3tNE90TDsfThAfgbm6QVPH8gE73Yqd6qGcOaDgB
8CPgFMweUvQZF9dv/iRcxCSuPSRoOPchZ6AWQrZAm00vszWKKybY4QcFn3lD75bZJdigLXzMfBO6
4XyXwaZazYPVPC0pSiLDwcxn+/GD0xgAtUWKB3MY2ru8SfM1js/8cciC4MGxoVtii0/ITjZn6HbD
CRXauEltESGQCF6j1qwfUGeM9/bkT6e4acXVjf3isR/LfN0J99jiUF9PPY9OYpgfnTaqEdfxnyiZ
NE2Qb2qnVN/T0F49kprWSz/NOzEv/q4fVfaNPkxxR5pR2y9kPwJkxkzct/KONQYoaxcrrDUg6q4O
8YGbWhXpSahSrCHTQm+d2uirzDLeLTzA7Vql/ZWHMLvzSzO7Txzt02CMvI3dpQVzYN5T88sNCOTm
kC9C3Gee8DdGP1cXZ7Q+O0PjYpM10sfcp+EFq87+2OEU2iGTSC2ejIhTN3UBvCKpit0c2w3xSpDp
AavEJ2Nw/aPTjvNN4cXTwe3YIglFcA8wwV3rb6Xrf+vk39TJ1I2wOX9RJ9/99aV5bdN/FMrf/+h7
oew7fzDf1VmoCIRR/+t/7/sAxDLlH5riAXpdMIDQNfR/2KHiDyYfCPIZlb/NRhiNfC+UCW/5F/MO
W5f5P04VTDChJsU30mFGKw5f7J9ThUz0hjnTcb0V+eIP0XlJG9smnlqw78zF7aBiOVf5ISa/5S/c
0F6tD3bjB8dr3EO7dMFjlnvBsir4+joU0r3YTeveTgltVXoHxJ3aLUfglQ2nYFcscf9Jtnl+1+Ci
TjaD7fc7v/PiO3vyqCydJgSRTl49YcFRu2beIe5ITnCQUJr1zhzoeaepWdx349hfffRdZN3PYfrc
zON4lEbj9SsCdYtPJmA5ptaRtsV5pX/NIi+/Nnb37HrpcoDhNO2VpcJ7t3aWK3Kw5jqFgh4pNQuV
fTdtjVF0R0Aky3oaBVF5EFG2MmKWsYpTrLp9nEyvSuU12qiSM4Rc3Omeaqu9x6kTfYTa0c9rk6CL
jQgHe+dHynpUTh1dnclNtoMp4YAaZjHdNuFo39LKeILn0SFNgcbSrOQg4KCJavnAqA1PnzV9SWk+
tytB1/rGBJJ8W8cFkeE069rPBBiORLBzD58yjhZ33khj2Oii5djkOmQgAnq9yQZPrZMCkxjsBSPW
gFMyG7PwMqYJLcNkSjdL5MAMQzl8Y47leDtFQC8Lw2L2a+Wut+rycX6cabHt0slP152b2pgEp/YG
4UVxVrU53sq2mG8ICxOviRTlMfGt7pGjWEZWHmeGLQDaLl01kY0XHv4Fp6Ha3NWWMjZFkBUPCPrE
YzfL7kX4dvZttlvzgz308cZNp0LPoAzydNQOikX3iWsFaaueCv8ebV/+STTxsLM8ggCLzja3Y5Eu
+9Ekz5OO6/RnPbbthWKgvE2mblqjGUJAmPDgkGVh+P5XIZK+WdcN1crKIPs9W0+U/luJ//5BEzbx
Dfh1RzY9tD92+2HntdGyQqL+ypnRO0EGR9MlnOpONtgH+8Kky2Ev/Tpqw2nHMAbJ4WD4yW1FAvRN
FlIQmLTd/0qKMLk3K2B7cRoul9RJaMmyZxhfvVKA2gnC1vJXlJYZ7TcFlZxjhGL9iqJjnLLjiDxI
NiQ+OJ9iKzc/0mCfbl1qmm0k2/4cK7ZuFNf18NAQ4/pSZ5XtrIysmnChx+EHInCdi54DNF4V7odB
Ffex2XZXe4jsbeqIDt3RsKQ5zySTKaes+2UVdZNDL4whDKOqwhjpYLrBgSiy4MDstjlA5mqzFaw7
SdgMB04UqE2QP7OMVPczMO+bIqzNLSc/ZwsG1DxTFxXjvh9gWMBU8La0leoLHcPw0kTS3ri1Kz6T
/Q1Mknd7+tgGkWYYwf98dF0OuWu0TYQfJlZ047hBfuyXoQCwZyAWI9yydoZdUc3mBXG6ZVGPoO29
o9wNn5UF7oZiuAzAutV1wEoSV8tmycs/MybQ3qoHwnUWi8pnbo0Tp5wNB+M5HFqERInl0D7LjJAm
AkBgVHUJqlMMxfWCws2rpgcbjPLHhqqih0VnN1WNwb50zOnM7NWbiDIXYd5P9q5BhgjONBxnMrKZ
tCH/eYR2DBDuKVSgJq+diMhipCnJ235cKg4gpNkBzQXnIQc7HR+bZAq9rzJMg6hA0p6Zo/OUD8lY
q61XEZO5M/q+S/6cVVVZKZpyq2nYuGgC/bcO+E0dQG6cJ35VB9yWPSnN7ztmf//Vfzpm3h//TE5k
Z/5eCPjUAdpxSdfLxcLmabnYf5QQVAJs4hC68DURDawT179XAjb/IJ4qfHYYnigXfOvfVAY6nvHH
wsDSohxaeZaje3Pqp1C1eG7Gvoz1a02j19skiWFdzahezt4Q446oEw+WQaXML62hgg8wXyEjQLc8
GmQmHVtO6xgYCE0uTbcglmAZ9Awm4xTBfPuDV4HMVBEr0bY0O39tUaxfALf2fyUNfbcpCrNnabPo
VpgRwBTkwbk0oQpvClsNG/xNjdaeNuO+y41FvyLuY1/002+8r+80aVwBKZFaOFwGrulPSVwJw02E
HSQQ028h3RFw5Z4Zn7+2u07/Lr73D4/I/d8qkx/Dxqjv3l1xxC8C1qakAsTE+U7gYRuWOYVpWh0Q
9GPcCLMvDAkHnQgf/+aT3nVD9S9TuCPRXqF00QKzfxZ9Sw9sQZv7DjSJ2g38VDAMM/QNqGTxI2wH
uUdzHVz/9c9TUtuAIOTzmL6Zk36Q1iSmTRuCae2hd5kfrAx96mtNW0ETnxzwXv/+08AVu/gZofGr
n+xWvjfGRZ4A8mFZTM9F88a2bazxgoPnw68/6723S19PkBN8iBI6FVS+u3MTTJQI/lx8qKMpg0FO
KAeHxRohuddYbJzA5y498pfbkSjnG2A1XYX63W3/9W/GEU5SuySxjv++l9RlVqvmvGfCWvf42jYM
xtqNGwbBB9+t6Kr8+kf//Aw5b2GLiKWIz5TvlVINwhLRAeU9VNayPJRe0246gze4osUYAUmJnWSj
Cp/k4V9/7s9viWMq5MIIS1wkZOa7A0saJiPA4SrRwvOBITZ3cxT9OK6KGPzQv/qstyMaJCt2fW4v
x7N3nyXBzlpD5MeHGP0LHQ8oqKvKbOZTOI/i6def9W69/fs4CKwPKzHBq857LSb0X2b6zDoPy7yM
oLOZrh3Bxw/fz+7/b6ThexnZ27FTuJ5PMrB+XO1/vvu9m7WNC4EVjpMzJEz/mL+v5FzY9DWF8xjF
pGdxjOrAReFvToItnd3o/Ovf+u7Z0b8VHjcLneWSpGG+f3YQM6Rx7XR8h6ENEZQMNdjZxQjPAQkV
xzL0kH+4Yv7Nev52CX8U9/GxpJ3yw7GcsYe+dwMPocs0NFBQNgjx/Ngkbn4k43O+q5Ii2jeiKlqi
yUqCpkbyCtU6GPt5OIxuMf0JbaNuvlaDnx/ToKDLaBoQtQDIYSFJjIdfX53/63s63Bjt0vShLryP
U6T8DsYFeP2NKZT7ZZ572axJp/O5RRm64BusAojLsOooxdR6TM/weOB0iCIIDn1aypPf+cGBwYq4
8w23VTsQf2WyKSOfOIxff9efn1qPNDYBJNOhInHff1XTL2i7Z2MM38ycAeqG3pQy62+77a8/591b
zxMDgIJbxtSeODr1fm+MDZuLYrTxoUSG/YB5BgdgQdDGKWul8/jrz3q/nL99GMhxm90Rgbivxas/
ikBnr3VaOSUs52WTbkIvgMOdVf2adn66o/HH0WOCh2j1k3ox8gIfTul0v7mwlunoN/Gfj6snmL9o
TwA32ns/s8wwlNq8GcGN6sdmPqjMZjElcUtUh7CvlgdDuOYXJwpg2oBcYmZWRfiJY06H0OGAR59a
cmePft/P993g2z3sq6TipAvbFHJemi/nLGqDYwS25rpkIvg20Pd+9uaMPMIM8srKrxv3UdVTerRz
rKNDY7LgtvloX50+dR/dqDJvOnr1txEabdIFq9gAUTguD9CZBeEXCLQueWN2rxnxqV8WgzKuNSpm
l/5UBN+w5jvVschrztXo7oMb5m6STAhUAZDZVKNrhDKV4PprW75iGbS+kuQqnkYhqno14TYFfUc6
0rds6CSWMqCTETidJDozbsqP0mFpsZohxg7I4l22ofONYZRnM3WhbES+YEJFHWOo+gDHXLkfpUkx
hD23/dNTkHmKpFYvmAMa71paCc8bb3+Y7tLS5+OZkRgPng35Gg1Sr14WhgKbCQfWWem/bRGGMGl1
YLHV8diORCRkxge/FPOZfQaDVj2Pl7fLG7hjt7UJ33uoRB2l8MogQh8CK8RaaZt5dCaPDeI21LIE
ZebbakXC1qnpFlYoOlnGZ6ysPJGlOVkmGavWckNgCNduhrjVrhvTjD6AfpMf+8bEtGCH9M9EilF6
k0j+Hex30dntmKMwmYi/NCZZMOQeEM0DtcbPFsxKbAoM8MSTVwwMGgyba5sLO/6Shbm9s5pSviLL
0iG1UHNJ1Irz5cEhqpb5Q9pM9+ZQT5d4lkO0UdKKP2dux9JEk/zZmsmn2Qr9HOZjGcBHT8jImCOv
izfLZFHAwNBedsVAj3Kl8m45c1aGRBxw9JrxpA3LQ+4YCK2XnDqnJ4VvXif8AFSTybhAjucB2zLg
qV6jMTTRJns8vU4qp/smiKbypoeEecd8wPjgRrD4mfUS2xAaWXIkG2TrL0xhp0ZOF3gA9a5LUMeG
IzjWmiTD9WyUzUPYRfHB9JrihNhYrmOaeFh3WlObuZZjXwPCp8kbfAg7tS0xOr3WbpHqyMp0HQSO
umAzJZUQuDzGzGlvxol4oUNArqLM92Y5d8ime7ExjYm0Q858a8stAMZOzD1kU0D74qraz348wCcv
5mNi+bsoIhZt7DEwo29H1WAwWExzIvOA/yZHQj2aNTS2DIuexhu3Epm4I18aNNpnRsKXZoJSBql3
2gy4f1AU2WLn1PGTG7jE9LaVfcqY62MId9ZVR+sm9XNznS5WhH7CdDd+ReMn9qMr+bhf/Mp+rXqj
3SZGLjbwQVHlIrI4GKb3qdZDF7yeVUZCqMeuRhzhZx0fvAjPWg02TUcXrx/+nA/DEJzKQoWfuspe
aG3N0zHKchZgqWuk3J7v3FiIM7O9+sGKs/ZoDAAfl8W9TVU9e9VKYsRnnKwXkbD9qzYBtsw4zyGI
YZWvV3MokqNVSqxzgRGq297J+EJlBmAGfaS9PBHmIXbTmEGV7OhXnzrLqi8USjLajK4Wmisze2qq
OXxCzDA+zqVD/VC2lRfqTvZ8TtUitkHukiKTQq1O8rg5TJkLxZCEbj6UKvrchObVc8bxqsZ53oql
77d6/8E/XlYAeuOqzu9puy2QFiBFYuTGQ7GyU8KUm5laJPUQd6eF265dU8UsRcWozXPsCCr0FcZD
jj49z98mp8zb+YuJNmwckEA2lZ1fWrN7Jn0Wai7C9DtZL2RHhEhCcCOSLp7s8ADkJ6Nq0x09Z+fe
7KeWbJk+/Ngl4XgS/bTp4mA8JmNvMiUHp/pZJBPgB6ewdfoN6+Sh8JvoKGrqdpTZXnuzDIBDVgm1
A0eEzHjI5kZt87mB9wYKnETA4aWXhfetkxMBlATJwOHNHfVxGhd/2ZsO5nSIy5iXy556DM75TbUs
/t1k1O5DAzF1LcqyWhtdrUA0jv6NP1lEtlZW3/xV2Z63rXRCVd2Js8qlefaDBsqtJJUC3WVBCVMo
ZtOZ/5AFdYAcUQSCw38SSdoUjfWBVFe6D13mH7mpzPidfsHQHmQdYpJBkmVrtg8KHchhImZk45Uw
4TyXR8BNCqb8QejsRwVDyyUgbItaQj6laFruySTC3h1YySFIavvMFYw3Ih/W9RBY+wFT99HwizOR
dOY6yH2b3OPMuUGWIm59wqtWUDacx8CprQ15kSVe7qXaZUvrvfYdP4mFpl4PLaL4NfnVBPCm4Bj3
0VBgIy7QWeAjD8LnwpzEXW965cVcgEVimytJbWiNpNjOqVFKHTGS7TPyWV6c1KWJQxLqaTIcD/hC
ILPDbPjzXx3HcQJsxv6hI5YIpmzlY0FBZcOeLskJ00o+544Te7VPc6U4AFjlMSO8l7eLPN8xybP7
ynW6i9dO042oW9I7Y7Jt82lpDiAAjBXGHO9UEot4TvrC28twyL/8D3tnshw3kmXRL0IZJncA25gj
OIukSGkDIyUK8+wYHF/fB8zq6hSpJi173YtcpEkKBBAOH96799ysRG28pWHTPLgRqXRSptmvQBSQ
DmsPCwPNcWpJQMS/el39veCjt21TIbcNxAzJkuS64clEwou2wyDNN6qByrK4mjjh4hL2XYo2CBRr
sjR1tvziyTYr7B+jEUBWhrGXrWjnEfYaRfoCuXv1TIl5gK6dog4OWAMRLM57LTRhvH6mri1z6J7T
NmPObnJWDSaBNovAgbigRMW9MvvS636AVyVzyHTLKf4VG+hCVEInjRdblRyTlPGrkXF5MYnavkxG
0d8bUTg8u23if4vw85erRYCU44KffYSiQhe5B4CoLMoD2bz6hD8hINFaDg9a0eQxswLCNVl1KMCa
Rek/ZtaaXRQGIVt7G5U3VDXsJjyKKp8cvpWaDm6ZmheQIvJNno2sGQjNNO7bvgcTw+QU9yv40NPB
Ckd1slokUxvl2hXTmYYY6TspSUlICPqjIFLEXFtUhxiXqFjXUTcbd9T9zV2QQdCrWRT2jlmrU03/
8EfN2WhRE+dQ5QueQusn30N7GcpUlMyL2KvJPIL5Px2k6RBkLmznybBr45eNVeo89BExiHJO11bF
x5J3HtxbRCav7F6038MawASS32CNY+WejXG4VaE0V3HWfJHO1wiPw0rPTK9hHjKoiq+mKEm4AaPs
DXAWUq+c16bn71wE+mDiUZm4GU7mic0JYQPYd62yjRBTJ0uKtlutgyl5znKb8r3BOXnVxwBgtMTw
Pxn2rpfjC3m4MFIo+9KfsoNdZtHHywp5sju6olYyWKtC9Ds/AtEufNvYeCHD2Uwn64yEcuCa1hON
A0Juq97f27rJVkWhyaRRyXTbSAjhdu9HF2k54K1ElksPAx7uMNinhMLutqOadUpanR8Ck/KAPQ2a
97nt93WszOdM0Z7ijM+qw0bohNrK3XZB0uyAXnTnpprS84xGawYNmbAXEuE4VMuNGqerERvfKnYn
eRAtkFyzGHyOJjW4Sh+DM1vB68nq8DTkab3zFWS81qi2tVHNe0smi3ww+N5qgzgrDdxD1dQOZoTC
KN9u0BU9JdLdVSGsGLMPLhFYnQqj+TYW81WfhSRGyvu6DQmqqigY0XQ9k+38K22ir1YQfPHskrTI
rF6XKVEMZjLu6Ybj41HkZAizW89t1G8COF/31ZK/YFb28xRYbKyMiEk+to+5bNUmsM1d2tc4dggx
7yP5oxhAQdsEuyzYJ04EsFn6h9mZf0xgPiUQULwSeUIuW6CjB7PucAe1rZ+d8LuhSSVoK6kSZ2/N
W0zsj9NA07VX8bkgdcMfeox0RDXFXXLrOVF88Ea6s20z9I+G3RIjB8cUS/XYnvd9axxoEi6vOZGN
gmbqo+zcEgF2I2Gox2N7TBpJeXRMl+OEF8TTvhotttB4etwVHr2ZVE1htLu4mL7gKQ5+mhK1+cmo
cwo6qyzofHNvD/bonOEWIXMB4cxAPDc9MD7PbrL0SVN0HilcLLbcCGpBgF0lwy5BVdOF8GumgJ2h
FZO5kLEfOnhO7xmXqlfEKXRGlQIACSiaym7kyEnKyLrt7fCbTwMMKgy0mxVXpcVAliEHEdvnILUB
ncGxKGLY95uK6YU609LT0FUffusjDgjhEmZM4jGJj8k8XTascV+BtukLA5L9GlmpgeW4keZlaohk
2KpAc+zoPaalsUudNWEcnE6IBRle0tkewRtp69y0shkkTpud4mwMv0X0JMUmcj3ri9UJtZWC3h/1
LoykVTVKcaHiYTnyBor4uljU3UND3sbGzw1p7mvLaY/s7flouNpgQCoO6NgZsKSiYeB8haPiu8wL
e5O0bP9WblxfixaZsTWUx7LGHjCz5B/trGMh7Zzw5MSCokDHIR+4OjWCpVPzer2hdo2txml1DKVD
zwba/d703OLx9a8Q0YAeTnLsrzy4TXAoZwLns/qpKxRnsKm1qRIAE7kaZ7Y9BodNej1zKW+DjIcJ
i5xYtlg1u9dCMRkgtFEm+BV9Rt04L4BkrJIkhgsZ8BWLeMxOhJOWe1mI7qEiuf1oJymfyDwy33QU
Xq5FkgO+6E1+9TIz+c7j1B5bUU7XGeSQ3Qzx9zBn/Xwx1VorIjm4L/KvwrtacOxrBgBcCEzSZs9W
jbN93xMHvRmycMxgX1MVoXjJZAALGD8KIsAKQEFzzEKzKBj/AJzOgyqqnyj+JXuYJFQU/fksaNsO
CG8eKEoyDeaWVUmG505l4+ie55BQLoU1irMqnemQzYLiVThnp9dxZ6Dj2BEZarD9R2+IpGy+iVUn
OSZByeb7xXX4y8BsQVGEY9ZN3i/PJO/pstFuv+G3mi5Jo+KxUaRcL9EGF3ZplXtkaQptWzlfeDoc
r+Z8hBkC8GonXUaAck0+OxiWD8xTeRvZgbENYsiIdY6aVnlkRpKOaD4WJv8Ex0579MrlTyvF07Lk
tOQtOp6+gAXE2Jnh1sETN8zH2BIkp2aK+JqkY9zHAL/OLZDuvJHLgd8y7PDXbGH0H1JGkzPzoelk
VE+UEksH8aQ93AM1sc4DawxPQxxWT2FsTteLUqleGTGvsOv09CZHFZ7C2qqeMq/DRNlMBsiCbshN
XDZ5aH3hcMAdlliqF7J1lLEDxuuzp+Vvn3NuaR9UsDzeAnr2CYDMfDF0lf1lzBRC7OWFtbss/lnM
Rf3U+AmXnvpuOMHWDo+Kkmux6uGpPc06WkcmFTnV8O+CFtI5k+9zL7phHVvkMdSq/lHiklgHNPOA
eLXhyVT8OkqFvOwTb2DY64CKBaQ71Q5qG1VSXziUwC/qYgi/tcAQBACf2TrLMSZclY4MTyJ3+OaK
k4/YlEyHexNVWbeiLQphaxkFY01pTqADGcEwu+Rh+JhhV2PQM0q82XyOzLR+ohVpVHiqat7pqhXh
Bp6NxB7A/Bi4PCnEncbdzIHglxfW3DByLcZgu+S1e6ImhC2Cv8M+QM8HwwODB0mZY58v4+HFl5yT
gblb02MHUv37NPh0oTo25C2l1DraxmwrWBnrFM12N5SX8ah6YEWj/7Me3PBXUk247UWca8J7WJnc
ZGx2Wnga4U7JCBiCJvyWSiHKVYcWOdx4FQXuTV4nlf6r/Pz/QodPhA42lWdK8f+7MejyZXj6+bvc
8a9/8m+VA53Rfy0dbQeki3yNRP+PysFa2j7/LXC0ETh6juct/XbLInX1P7IGR/BHNBeWPQBSyqUx
9g8EjzS3f6+qY7rxlsvYVMAC2kFvKa0xRYWhbGsO/2HnfdWjK47asbDTijk3yRsA3riZ6upEBwvz
a2U1w9acI2z70s/3+IiacxGavf0o4jljys3b+KyZBsyFdo0ketO34EpQcg+PKgOGpSLK3XGtbYRn
g4/ur8aLsgHoXoL5w1PxBR5B9a0cwuGK2TOc1oAIQfdlM57JVUNlYpcULoFabVqse3x4VEKxwexl
wFdcUe+n2xJF1ZJSrZ3p2tWadN148sfoQJ967ilJp+Aqeooiq1xn2U9cfQ31QjEUqxHE5lUYUhhf
4XLn3ou6oAwKzzHzjpVuXVZRVtp6jyiJP3U6jponzgua86xo9DECmZhu2FlNWPz4gtWZG1LjXyHH
KJwb26+rm8BNoy9zmg1XTU5dM/VytRljEt/XIXbVfTq23oFgnLJZw+acI3JnFNVZv8/IfHCpRtbk
Ktr3kF0oftWbET6pag6hJZJ+X4R25Hh7H11XtPPaxJyxBqYFub/rjGXy0vE4zFho4Afj6Hav0Pj6
lSCf4kMrMXMl7K/y6aGrcxdNObGzzGqOtOqVL5KQ1TTDQRKE2yVpLVjVVdQWO/RdlPVATDgAZRCZ
p+FVaGkDDgUZG+NadMqxeZg9eEWCPA1K3hFFYK86mOxYQ9aEOA83jdsNy8Dx5gMVAjHvjAkTMGVa
OebDSam+r81LSxepctpV23XDiLIMXurYWY9RiIlq/oaKTJftTzU2qmC7m81zHv7Vg/z/Ce+TCY+2
NIrqDya8i6ekfPnNB/nXv/j3fCflv4JFRw18nDmLBZeG6b9VXR7pkT4bZkg1THBINv9n9vP+5Qqf
zqYXmOyRbZM567/l3ei9BPZI2oBWQAcUvdc/mP24xG8dRdqnVAj5HJrv4G3kGz2DDhi65HghmQq3
OtgKfUEoz9+exuciJsQLqNqEgOq0SH2Qjv3eO6VnvpyGgxm2t8M0BlmRACtf8kj/s8j8H66y3Ojf
tERtGEwTFFHiU8vvnfG9ml6U+EQj9f5Z/X4jbzRSXlK51Cq5RD/feOaNTjbN/PzxXbwRmC0G2tdM
BVR7geXbb/U6Ev4E8RB+exhddPWIhOneMmuSC74nw7P4pKP87oZerwZSmJVYkF765pfxJjEpCAXt
QVcRhzH6oaukgOaMJDnffHxjf7oUKy9GLGHDp3nbuTY7SRLSZHFjsR/dTakLRzMdrAtT4Yn6+FJv
pSTLM0QWj1IRoQ5XfPMzEYNjahI6IMW1KNazXC1xOimpm9MMpzmain01RPqfjg0uSriABTfOFeg0
3lyUBcKywQZ3B53xFAmHwejTUq0NARp+cn9v5TrL/WG44M1F1iVd+UZaljlGPdcwQg+Fjkkfy0NC
VIzGT4+ZDdMH71FzXWtrIsxqji/6fJo+uf4yKv4uQni9PtZtZDP+MjW9GTU6cusYGnJ38AtjWhLc
3ZVsxvuPf8TlJt5eBHuL6S/6Ndzg9u+v82RVSqvAbg9KNdbeG2PCfiLPCS9z22SZZPe0Gnp09BV8
0d3Hl/7T+MESLpDULiS6ZfL/+0wSCHeyItwpBxZhTa0ZMzBGMu2tPcPE7khNTax0rMLtx5e1cNe8
u2l4Ny43a7MoYO1482Q7zDFpNDTtQRhl+wPqqUkQtDna0D2ZdQR4wS8YbDkp5j3liM7sd1Pn8BNQ
3d3raRj3Sd22X+14dixCjbp00yrvxhbFIDbU3cbzoJUJlVB4oI6a8EcMYXibmDaVJq/o0zu9tA29
1EvPOjkgJahojPjQD32/wxFuDYc+bddgi2KTqhsEjczw4gsCUpf4+r5ayQQGpWx7Sh9m7p2ZkMjQ
wngllV2h4wuzMSRn1VyvZ5MmcGwIDJiL8B3Lrco34LD68z4o5vtE8b9xHZNE5TU/pF146KoKoq8M
wtI7NnF71+7O3cxW91Op3Zsx7K29QX9uWxHyS0kHf0beW+6OFMiGYJ7auvDpZmyJwZvgb0/DF8dT
fAiH33NvBsxczb6t6e121kUIDOAAhZzTe9XHN2E6jD8Chd11gPJKXTucGAYD1DAjmV/GUoaPcY1q
dcOWdb5HiCUc3KfWS9tOC7W4c9Uvo3GneD2lufpKGi+xq5NU7s0A9IrAMx4witWLipaEWqFBwQCv
hWTbHarzXNLTgRMELyUUpVev+X4Z7SnlQSdJDaDH7ovqIJaMWvU/03m6d2f7JSgD8W2yASK6vZFw
4pjIfNM0ufHZ8CKVo/uyVP+CVTw28yFtmDFShEwTJdJZ4ZDi84qJ75FOXnYqAtF9TZahTxiYd1b4
fUz1YQy3jmgBp0EruRlzOz1GpTNsgrZuCa6j4luxI6UBJtkSB+SvEQ6gTYqOuR+dBAKFA4VjLmDP
ct00qdqPhZ8dUpEOt1k197eqDvnLJIkxMPCn3uQR7BfCubITEj6soUbVbwdUcld+wONcNSQibgr6
1hubbdOlGgmNPaZIUnZ1TvzWCqyrFXJQovIDKitCiJSYt2nZZ+S6j4m4snMr3cdRZO4ttw2fQ08A
appsI7y0x4B+ehYj31k4SD1GqdC90jHhfTrSck3CrnvSdducN8ZSyC3m4SiDWl6HhmPswfY4155V
ROecJ4ksa6gFwVXCvywGE6UJzZZj0yocwP2EISojQPZZobaC8TZWauUYvbGvkL78ctPM/0UrT607
HLhnLSfl5xhI6DbqGxfXPzhTrLkqoPcdLM8jNDOAR/P0M0eXgoFrmHJI0eiyrM7ShwK0xnkeRe4d
ddJ5G2ofG7BjCGvve2W7F0DDHn07HMB0ifjGLBrzMCR2LjduP1HC9JKBpjQd3R9W1qlTQxLiZe9M
41NLQvRF2UfBFSAv546CJwdHYGcGiGJLnI3QY69xq827qG59YgLa8knHYrxptZ6upzRWl1PXyHNr
onTYETZxltVUnC08O2tOt/K2BjG1UQhhsdbTlYQIbnOBxlomr9wO1U07m165woafeatSSrFB61hx
DhvNX24iVbGK8yq+bdoh/Slm2R2sgUmIHOZuz9BAqAUnBJxE3e1VNYIR6Oqk27ChBJRkus1ZPkrQ
CHHVxHcz1a1oReQnnynCWG7SwAOkRqPvxLeN7myrmk86080ZOgm9zgV0+nUqS+LfRJEGR5/Dwg6e
kET9FAVHQXz6TlE33dbmwiWMMyDZpSR+b01HlJJ+YKotrvP2+FcFPW58vQPPY2w9kLgA8gjyWw+h
4jlMRFaubI6613Bym2fOgoppbMhu8sqluZ+SPK6YBb4T7jaT9ul5B4zHw4tnUmi2UdievdaHxyrJ
oWMjKMXWWlnP4OuWUgF1yl9dgBpQd9jDEUhT3F/KyXYpxS04PDooE/IvwFjeUvHHvdH59PAHP6P0
xhh+hXX4G5dcAFQoyyXROdFFouM0rHuN/3Dl5EsTMVPdAyHz3YY6H3+VgBxjm8CZu3htXdhdZH+h
A06Zz42rr0NSFHsV9OWe7kO4TWbLXEzfxXoEQb42p6WwWfVP0ELV0fekn4FII0nSDzNzWd4zJs92
uAxosFOZj/EHtlaQXGAwHChIkz+4Qhk0HSp0DDZAc8s5tnjyCU/0h+JEDCJ1T4/kzX7RA8wHVdZ8
YXOS84GkSnlrTZ35+KpKS9ylC/VqXRG1X7KfkRRq57rnsnhnw9M0+93KaineQ0Yy7upEIl83Jn56
35mxlni0fPrciX++Vr+zpTJftFKchRak+UgS2AiXENhXw35zz0G0PTo1cT9jAASxLBt6Lo00tgIE
BXoPuijRa69sWey6ALWHkdI3GiWdLceiTFwFSE9i+mfXTqvdJ6to8m1ZM8AB32SnmRG9RrCutmhl
ypeUNfyIxq276zI5f2UgRdcEDURXKu2D2zJFsgJcnqp/W5d7n4LKo+IsqlY9ubzE1ZZsxV+r3HZo
TNdKZfPNbJjDy1CGxn1BPADdKpVaG9+Q//6dMjWFv7TJl51cZ9yZbm1d0vsx7qIwY5IhzvNEmHe/
NcSUfCt7IhWCaph2BujNB6fX7sPQGu5DKmp9yUpFcayJjY0m8ndDH4V+KQWwizky2i8VAbxbuy2L
LQQdyj/LU1cCFWLV+f6VvcAiyrJi4evSM5KNrVVTxRA8eigngKHN3QTB4MxDL7ItAxKKC62cbQ3O
hNaY6fISe4E+9fQMrkLfio7IG5GYvI7l2bdQNBuuz77Cd89m7PuXXlcupScvwusPfWVFjTu7Mpu0
OEq66I9BCLtRhdgIgDqwGIII4+efMWdlXUV3paHZF42BQ1Krpn8hZmtpwSDvzPR0yaSgjzbJ8Fde
O8/EcApQAaj79FcTHbMg2nlMt3OvOxqMWXCeBzqFcOOlV0AcAKA5NPpcPJxniCzBpRLMsCUIZ7pq
vI6l24vB5HpNRRtmmgsv29hWGyYr34qDLWvTcCSwAyBZSADBxaiIjiUPp6zuelT3O0j7qKgSxC9n
0IDVVUOLlBavHHCA0azSo1WfGvSyO6xNBMeSdmzcdaZJNwHqEDtm1+lW+UDH04w6Xk0liDCdX30o
/gAdHvIaHReo4l9N2srboqYL5wSJ9fwq/HQLxHzuOJrPwDhoFkGnd1aGu+ijUchtEziKKHrQNreZ
553k6Oqtr3QLCoXgWThyA6LgIpCA0oigYaYrO2e+MSXSD0hNOX2ykP+5c4nyVqtg8dv3BBWtSeJw
r1MHuBSEoCY8dMBp9onpzEcodXI/kgW03NGVF0/2mkZPfGnNid2t+6S4taes3aLTIxulJhOBs71q
V47Q9nddap8k7rK5dYYlwDNLjDPUQdc94N8VRIkYEJ7x4jfK21lu+ej0yH7yVIfn3Ea2yc2KmVNE
Xbvz/XbcVrSc9mGIRqZkX0KRV7RI4RsTl2mPGRnlGSCOWF/b9F3WWSeLH15p/KC/eTXZnbOzp7FY
9m3N0Y+BaXhzcjcS/rZufSMC7w4HRhnDGvNNuYnQLKL58R+NEoefSpHxAbtqwg317Ag4I+IK01fo
CUUNtcqruV888C67Kpu8YfzfNHtJ3izjaJ2BstnKJMfFUjlDvydWNf4e9YM4ZJOFrFn3JNKSLV/d
1ngAZ3hAiL9XhR2TiCTrawrE9SO5PeWKVb0AIVgjPBo81PAWkuBN7tfZsR/0TFp4kO1B6fQHI4ZJ
vCGl1L12/Xa+TiPZ3tbE+25RO3ponSbyPeQs5Xby2nAdtoSE5wCfdkOTUY0z8+QEoFgjJlDNc9DO
xRmBqQ497FwE7WasImdEDtNPWXbWlc9s761vE8fxCyvoycIhDKC6GZoUJIhd9eN1OOvqqDQd9dSI
u52ipr6xC/IQ0WkYCFHall9xA6TxGa5BM66HeNZXrqXSm1KQ5tJj//wmW/ZXq8mK7UvtB+obXGPv
REht+RBqzwwXZr7z1VxWSGkVNe19Pz5MZdmfxYnvXsRFpx5A8IrDpJrxlItoOCOuPPuh3BRZZWzx
41a9Cq8Hry5+Fp1Hooy0XPIw0wr+Jvjkk5XZ7nmrOIFLvJE0dofS5azbuf1WG8q9d0qP3J1QWPTs
gV9eVoZ+yQbPf7Qrr0TAOPs0R/J5hzA9XacDfm72eDOykZgw+VUP+WYjdctMlubpIa0HIjxIvePn
ZbU9aU4VWGaceTVa/ibqsIjDm7wzcjQ4JEORgZOCsqTtRa4vGp3Mqh9aJ3U2maSHjULOa+DesjPe
V4Es7qqsqM7VnNvHtkWtxn6+QAsKxjOr/Z5Q4240igPHJWm8aEVu72psxdHqpf9VGYC/OHf6e04x
44roK0gPjqHOWRTza7aK6dNkOdV92mTNY93Xk7evDXCXBO00SQaKeMHQgI4irN1Q5Y3rWGO5fu3H
Zq0Eete3Y3oa7P4lGn30SlR2z6fAL88cdrY/yhrcjA49fIRGdjlXAxDjjoyevUJevUYBU51nQw2A
Aq6luqQQGF2mbIZWqZun3db3RYO4WaLFb1P7C+//T1WaEFlZ04JVD6ATZZgiV77q+usM4ygZJHn8
dQLyw8LlWVurLMKbrnaqZ8pg3920G7+jAL+dacO5O1Abw4ZumbVPm5mZvTacNa9afkuwBUxztPDt
F2HmXbEOJZLluDd387AkbTHiwcNW7j6OpXduZ5DEVmQ9e8cY8M4BCFX0TLu9Qx9mVivhGDC5o8m7
46jDeoIb43tIJPWmjoIHd3LHM7MmMJpPsTEINurWTdyfXu63VwNFLRy84bAbMoS+PDedXgQE0+2H
1uOJVb6/h0lOYLkR8FCc0Hvwhti9S8g1QkAGd8BuA4iuJXsqHctgJwxBWFhsX3MG+cqEnF1N9SxP
DXL6lRqV3NZ5GT5VQTavc0QAlAmd9FLCnINFanCKscmiPoCRb9bRMJZfSkDa7HAN6s2FOipfFzdh
YshrrzEjwOjSvrTiwfllRWW5rtKx3rZ9Qmp0GfdXpZji81xk4tatkXHj2phDo/+WllC046zbF0y3
26Emwn5Wk3kThr08kG/WryuVVXsN2vZWMeOu+gl2bhAM5r7N+7uoByE1kRVzcqJK79XYfo+D0juk
UcyKxUbwxERqHAjGHs7ZynnEgSFQ7aImY/9blb+AHQzJJlf1s4PR6Vvnqx7FI02/7Lky09Q8s+o+
PPPJYdxQLRkZbJ1919vGpNckO4vgMsnbyF5XZUM6u9NWtdg1JWXktR+3SAl1m9+VBbyOQuhgHyeL
c5ES1h2Wj5dpwlBhzmxV2sZpTybpgx49VjQadrFmU8UhqUE9OZOWfSySwILfbR0MRLhQZnzx6BXy
a4F6eO2GVXRgV5hvKHf86OwE1ZqpQySdrK9Qbg79JJ88jiBTOp+L1rxhDyWpnFEmMnrf+kFuz3jm
VsLZysahkJKV7VUUWochMMJfsXTEtTAN+6abgl/N5AK14NW7t6HOxBvRVQ1aoHYKN51veSu6u9We
NLQeKntTbqSKIIhhwPrElPm+CkonHmgoXVdKoeAOfq+/Ol0gKy+h/goQKD9ZxXAvkdgdIsnpNvAo
5H9cd/1TZwIyAmZCwmB94Aq/Xy5qG9NCAMnlOiXuGrvZcwKARg1h6JN2yzsX4VI5J5aC4F6aewQ3
vK0sz/O/i9pyXgLbXov0Oux/0uMm5AlCJQYxBH7Sn82nOFxOlCP1uI9v90/VewCqYIdcB9P9u+6B
56gZ81OLESlybwRcx4s6ok768VX+9FD5CZcatknj8y1OwMWE17sFPZjXdsgA0Q47hZ5WlpvWn/x+
f7ohF6WUD1GH7Jqlifr3cn029SVBDyOdpbEBXD9W36Vfff/4dj67xpvuTiKULXlb2wOuEfCv7d71
i88svsuP/7bjwfgjIYGhKGB+/X4fQZD6Y2ur9lCzgF1EvWmf7KqkWj6MyWNs0GpBk2lCtaTWCuTZ
POJY/qy18/7Vc1DWUEfl/Qs4v7xpQLikRzpGFTSHyIInpIheWI9W1pznRO0dMVOUm3/6XLkeDGAS
MAXwibfvXsPeyte4HA9FOTFLSX0DAcj7ZD55PxYdeugQCKnvAEx7Tdr6W2c4iCwF3DAHzUWAFjj1
KlljojqHcfUZROMPV+ImfEHksoWR03szTIIuSWat/eqwCEro3nZnYHLv6jb9+vFj+8PPZHmubeIQ
XtrEr2jjv92RrIuMODtUJHNibtv8yfDJJ87KRWH6SUDw+4gZf0n8+p9LvWk2clAFpLQIVvohoHpX
utEKDu9fSFQ8qEM532tBYxqoc9iiZFH+xmwR4Un2rVs122qb0gLaI5LqqNI7VMEKF4Wr8NP6pBzo
y9EYzxdhzmbQbUoHdTwlYzZXapvb6KJO3pBPl2PVU8bSgArWnLVJdJDJ/MmNvuap/f760cqkuG/y
AliY9d68fnk+G05A5Bee41g9BEWJ5Gbwv2gpk6di7r1Tn+c0UXKkl8A9dqQCLqxYeZQYIRNBe8Zq
6gz3xH0RsjtSMsbXVHypR/9iDjldFlXWbDtcMasmcTz8tKmD8HysEKUOtncyUqNfT27lHmhwjRul
MCVznXTDOd47z1y0DGkGZmpivt4E0biePXhT8HLzgKdlw8gP5s589hYl68dj7X031LVe9Su0e9Ga
vJ2W8rzuOsRx5WGu5+OsZmulTPcBDemZI+wHlejPcs7eD24uSNOCPrpnind5S3VqRbqZg+KQNEiP
B9prBFMuImUHSRrc0qVc849v0YaqjwYHHBPsgjdjPJDax3ng5AfM2u42brW8KGN/Pui06h5ScC0E
OcXPH1/zdRfz+3hDu8gTRd5IH/8dJiGCGs18lRcHCWVxHY+9vHVja1iXjhZncZXnX7FiIoF2Oci8
Vu/8GBV40c/44thh7w2Ih5+GDlrv1iDIRryadMqQIzlv5+NoEnMNy7g4dHPIKc+J3B1nNWfXhW23
B73irGhecKgQuKEJFgJh22UUJd3PiCTvkyBRdqKWYpMCOgdd4ptNmcmGQRYqKVDzpLgpXkt+iYMC
nrJDKc74ubyjSjmo033ArJgz2VgGDNkVtoLhenRGc6d1iOrcXTBTajYfq6wr9/HIkKKZkO3Y74o9
1aoXTZ3CwX+3dWUabzlGu5vWKNUhlkDTprj3Nn50Rsy1c5s55XRV5vjzcHyp+SH2++CUm943E2/g
4ePh8X4l4WSMugLKzLJuvd0/cexPc7SD3H+eTbfQCjimySl5SCyCQv/5pahJsAKj0fKAzfy+78gd
ByxRzPsGiyDe1I2/NLqmOjsFcR49fHyt19/t7agPYKU5Drwn0tPfvGqlIfN+LJKSuHk8OSvAgZo+
yOxa+7CuBlALuXVmVWZ4rSZ7vLRtI7qxlYF9wcnrfV3i6vj4C72fbBy+hYU+jR05p5pl9vvbShoW
Q4PIRDPrp0Z3PjATHlnTpkOUol6FKOGMn/ywyw3+/gB4q7xX2CuiPiBiv18Qi+kwjHVRHQJfEXqU
VMW2AVR+Lp1a7UM/Uucx1eU7wquis49v9f2QchDtmJKwPH7md9KyNkL3GveyBAah9eMAMfp7Q0vr
Dnl1+vLxpf5wk2hY2GtRzuG/twohWr8cqXVfHoqhpfGDP7elIt1jAkrL9sickfjrDg2BXo02fYmP
L/6H++TUyCwGShfX+1uSkAdrmspaWR66Jda1Gcu7aEH3+Klu//Ehx122YBY8FvBa4q1unDJXF8EB
WQJD/Qety3Fj+yAuW16pTxbh98OUwxRyUGSfiMze4X9qQuT6aOhzpBP9uJkltWUnvRpHIXfU1n7+
0wfomg43ZlsuQC3xbhFI8rp084bbEoVzgM5SVrRJaVt1uZN9Bij7052x9rIttwQ9+7cTfYP8JZZ9
wZ0Z7l3sGA/QBn6mk3MXjfKTE9YfdjJYF1hWuDV2tK9wnb+964UTJ7o00JpAmdg6lIODSoDAz4eZ
4DDM2Tl84o+f5J+vGHDQZhrnpXsz2xlu7fnwZbJDYw1kcddPlbbunDZrMG/JnKhA+/zjC74f+65J
WQFEEGcqrrg87b/dogCeB0zFyw5wPk86Hw7En14l0vzkMsuS8PsktlwGBaCz8MLeZQEPvjklCR99
GAx74fuQ21RPLMEf38z7WYSrWLgzmJlN+Y65hOF5KtPUyg6tQ9GOYhYWof6XV8qbtFFoBkhOIR7k
k1nS/sMW6HXiwK5I1O67fRlIXwydMZrRQODTGPOASmNZZ7gGA4QIc0mfvtPEUa7gH4CwJxmxprNn
ens1NdExp1W+Gzn0zVo0X/BVAYuqa44+y6GnWTylKP/kfWDD7ALwID759n/8YeC4MeIstk3/xd55
LEeObFv2V9p6jjJoMegJEJIMksmgSnICYypohzs08PW9kLduvywmO2n3jd+kzEpkRQSE+/Fz9l77
7V6O6iItGd6UBxrwYpvPQX6hTbRy/3xj3n3KUI17606OuPvNHlbZim0kqcuD6DwCourhoBfGve91
H53J3nvM4PGjGXddlw7dm6fZKy0hlWAhmqSFVidOj5OrT7s//5r3ViDKTNTWPi1Hrt0/P2WBQjkR
c1ygj8KgPHhsU/AcsEi25Rfsl/95j4COmAMdkhuNg+lt/w2UkUuoHa/oXMTf1mvXZO5t1cRPf/5V
7708VFiuh+GAtsdbCtvUFsJYal6eMnP8T8VsMEWMnW8UlvWuSRz/61gCTESj136wVb235iGTt+ka
IIj+raVDd1hPLXsoDgnZjJ3QMMQmO5k/yny5Y5H54NPee+Bp6pg87PTNftNCw7ZCJQuJ5iATWewr
1/FuRxPIxp8vJoay3xc8LqJnsh1ZmDjerKtBb069w1Th4Pej/piler3T8FOEcW4NJeNHb3zIDb+O
+rrD2DSL4topPWsPZJ7QUZgEzM5BvxsKZBAnWSQnfZ9/1Lsz3r3yHv1D3kzQtG8LnyZudWesKnab
yWYS0qlXowtqTnF+e8w8/6mf6L160MJPpbCyx2Ic2mMc1C8popXFXWEaY2Uf6ZEHoTtrklRQfsef
L+Q719HQOexSyMBs/+2kXXp8h2yi3B7F8k0uRrfTJXrRuESiM7/++bPeuRzGTxm1s+rxfzvLmsDE
dNvvKO1j45tOO3VTOfprO5fi4JGfhOfe7T6oMN556cjsMKCI0EviR755TAgvn6cmqfl5ufM5zRLg
agiTGNU0S2gB23hQzag2CE6Gw3/+W0HOEptOZWP8Fl1vA5PPGr+tD3SirkE2EIHVlLc6KeeASpLH
mYSeD0qb9+4kJRtNTjKoA5ayf66avCswPWxVHzQ9UdFsDAgvhNXdjjCsDpVLm/DPv/CdPYcfSA21
hrZRLL65tFXc2GlWc2mnIcGgYjfjRle12li0Mv47HxUAM/JdCuHfDsSSeJ2uEhzRjKAWn8icBb7h
de5l1hvGB8vXe88oJ2EeTwyC67Trn1dxQPUnFvqeh7bq74G0fXccdV+23L8sUbc+jKL/+HDEAoal
zHQM/K7G24rUmBgnmu1CN89ckDF647npm42ky/nBB72zMOOc0B1wlZQhZrDez18qUbkAX9BjjoBl
4jwl07T3F3X/wSNh/b4q/+Mz3jwTgZYXuW3zGXgWjJAAS3nROq1zNnsXJmA5ks2R6Djdx0ZuWjdP
HmrcpeihGEf3JFgy2ugRfIqMYbY9IfIjFQD+FnCbzOqaC7IZ0lszSIi1nDHcx1IX+6qlncTpdo5Q
+sbH1KFLuOgT7AljhVMS6mmcaV2iJxMGeLS6apu9PqiYDDvUsTfkVlId1ivrh1jkm3Ty0r3RtPOx
hP9xPVhpdTVozXDwi+A+o2EVcYWLXUUnnAxAtJAH9Je4acdFbuM+ddBDF+Optq0MaGXe7/58ed97
NtnFPYPnBJfr22MgJDvVzS7PJkroVzV1r34qb2xL21lVDSOFsOY/f957bzg1N8Uew0l8P2/eBSed
Bcl0sziQXLx21K9HsziOnfigeP3dPbUC7GlAUZvQ6QzefAz8uJQIkEAc0MnfSpk1yCL9r6p4YM5+
heYm6h3zJWnEB0cm6/3PpZfHFeVw/bYgCyRUUzk69ETqefmcTjoeyMbWbvHy6OUWWRBnHOVU4KWK
QW1KgQ4SRhkLuTKHo4ORwclH7WjpvbYzOltEMdpXHji5x9bGkD7IvzgGeczjhNoRwmCyCTqDPMnB
WzaJEd+ZBVgmf3EI6+lyuwASAW0h5/tA8pLfsbUYn/KfWb4TRAX8qvzzanFILOnyrQeK6lFZzke3
4r077pInQNudNoO1Ovx/XSNIF3EqUQziAA92ZnYezqO+L4xu+ODJem8t+uVz3hZGgxyqsoZievCd
NTiWfkNUpen2z4/vexuiC3yZqSlqAiDz//wxujJlraBwHhip+9G8Eih0YrYLAsjTdv7AUvvuh9Gv
5MwS4N19e4hwGxYjgeMbiaFbcRJd9sAbd4hckYt32QeX772FwGWoyW6BIfm34recZ8vNEYodmry5
hW9L2lg8P9Vl873LsKam7gdX0njvufA4JXGAxSnqvZ1CLxjwub7UaTmxOxjZTOPCX5rxaDJp3NSW
lh5sqQD4yMA6Z3qcHuYE30ZSZ+LKT/xiF9T2/ODhesKBEicQSP98p9/9eiyItJHo3wZvF0YiO1ut
WBvmo5LfrSB5TM3hrrSQyvw3PoeGPF4evLm/FQftoM2pRHJ44CQq6eZ0r2LWxk3dNx9spO+VrWtS
AS2W9S/em/fQGgNMKshLDx22mLRFxTuK26Z2yMU2bspa3Vdl8EGj4r0H+JePfHu0zxe7RIaoVwdt
nPak1n8P7BL9vnvR1MMHZw7rved3zVWhF016Cr2kf76Z3egTejl5FcuMOb90qfwxZoEbQTb0I9q3
SbTinqKKFXmbqdVOoRmr+LRB1wip8smmqfIUKyClvYkpA+MeVqq0a+6SJSDNgYFQRLSlv5u80X/0
HVZN+KTtGjvUThvykmht1uYPfTRx7IC3mqT+ktf9NY5ruSXs/HvmD2NYzVa2JVbTvJPoytnsiWb6
+TT9D77hA3yDySGPJ+L/oQQ2r93r//ouuqybr1+r7//nf1+9wit8Fd9+JTj8/Yf+Jjh48GZ4/9Zm
IAUX5TNP878JDsFfvJ/ojmher50w1op/x/IEfzEDYfoR2Ovm9ivBgSRr3jYKENoRtsfzYv0nBIe3
rxLBPj9ROAwhkNH8ZuIXOq7cKi0AHySGQ8zWYIsTE4/5oTImfBKJ8xEG4e12ygfC5SGLyOSb/95z
gXObdtrizodpYkMAaoLBxx2z/S834dO/usm/Rt+8rZf4FFS5q4nfoZn02xino5c9KCedDkTMZfvR
nNRtUTdk33i23OraWIZGyyGQTELt3I7e9PDnjyf05s3pYl12WeGRQvkm9/htoQgjH7zX7HWkJBO4
BvA5XXall+KHZJR4msy0uSBgjbk4YmiwzRIq8ErdzVhLWuYQd4CLjSSswYtSVqYZeD8DX4K/jMVu
Ngv+WywgVRVZpbYM4SRxCGInbIF6obudf1B7F2cr9yFX40k4pDZGyNhzFYhhR33GUjjvV9x9FsoE
MgyEHaa4IS2J5aCrybhHkyevG5Ct9/idsVVZGMZHt5WvflVlOmLvYf6RElq3GwilfSx7Me/bfBKn
2MC3jD3HN6KxNgXByjoNomyWz6Qr8QfHKQtOLXyyLXsWOWkDFPbN0Eq9PnKpRBUlhBgZUcyp2tqb
hA1AH/NaDOx4VO7neoYGNtXpjYM8m4NLgMgMKwkiey9rbutyIKd8WJXaeecBAHVRBi3WlFGqV+OG
IKLmouhNdQtfML5AkjPtXWWUR4XMaGtY3fCYAw59VPni3nF3iKKlAiNkEEB5707q60wkcJR4aCyy
UcwPOPjr515fuDOKyfLBXT323giIzepEcHINLTsolc4/RkwyD3rDH5n1pn1yUWmf4imxjxh3jPse
qPJT3o3iNNV1cKoqtCSbIFckStsVEv7Q7RcdFkMpt62MCeEWg7kFAV2cpZsieQfrjxe6br7aMX+b
FAgEowRzdHIAlozi3O4V4eW8zr7WzXs368sjycvymgy3cUPILUTL1oJ0sdVdgpQkzjRqe4DnHrDl
vWbExTlBwgdcOlXXpAQ5MNyT4Xuhz6Qo4LbjdKnrLBpG/ZJNanikIbhcBWrgf2Wl815WTOmNiV8c
jJq8jov1ZSdJ70ZL9AFJJ7/FtfMg7IK0igY8BVU4ALL6TprLvCeP1r5JbO5EjHgstAnf21TgTiuA
bD3XtQCX6JWBE00IsIGLTyAP8VfE8dnVY/WV8cxyJcZ0fjCRDOwhgeNEahQhdoXovum5a9xnAOA2
RIPB1tS4tm3CfQRtxaVeH9FSwOCcG379gtkBDNPCnbBdhOS2wfMPO0s+l4kXX5Rt8TxqbU/wRVPd
JP4PQLHgAjOtclNKyMo8pq3zguNYfTZRrj8mJs8mvosi25tYoza2Xb7YsTfAuvYk2TEOD+WK8JtS
bhSuym4XK1veSID2N0E3Ojf9HBv3Imvlc++49QvOFZ5WD49sY8b1i4Wc/DLHlH03+SuwXsvhBPpi
rF8TUHrI/KxZQ5ZNTPfPH+envATEgWvnaZYClFiWL1f0MdonSaF6nuvOgOGPeApGuYHVtAQc5o56
duhq08OMGE/ZHqskYTalS9ahTVapt4YuqM9GhtsP27CHeNy01HXn4u40n2hPGIX7PNRi7L5mTW8/
Z9gyiuQwWIuwkVkumtgitBv7q5ncVediTKzePmPMxKJnT/ODgTM4qt2elG3DmZANqsXd8Rw6IH5p
W0HLnzqWpl5c9zVce+xBwYWtFZ86vdVuCVI+a05/bQMn22EgcW4XIJ+h48Eqb5wE5nl8DeCXmARO
wYfEXNJjZRYPLa39bb9C+3t7/pL5JGjYQ/+tSM3qSHT9VyJ10mO60DEVRi9PdTWM29IZJlDgSffN
wHS2TbL2EudSvENtbGDZLYKNMTfAETwnYcyXZNf2QmAEDPBhjhq8hG7uX2iFVJusVGIJZRCrI5Np
VMraBL9ZBxJTZQWn9qosfyRyIWuBUzas+daeo8AW51l42dastOAyx8J/RRNrxLbCC4vv07jMZnTq
feAnBERxI01j0I86yPlD5eEulJ3lExOumRG4bF5LUu73qY5Q0dQq/XJ0suDQJ8YdoaHBjuNHezJE
YJVbk2v/tZXj6EYOAjyUiwv3EIlVNxzw85EcZIwEjMTwg1vI0sLUezScgUEfISAk2IldtZnj9qtV
j/0+cRL2PDZwf4edbAhTE2FnLlx1ZoBh4Gsr2h26hnSiTa3ByfSnF58IqpCI3elSTKu/oCyKZ6wK
tRe5kzvvCbeAi8zMx98QEMT8dbAtKkSLbqlhgtnuHcs7chI3AfexiOCILqTZhpL36souW3lJDgjm
d1M3j0wViZRPU96qdgsIVIWCI0kI/dy5kG4zPSyjlUdg9oaINu1hLDfWoNWAy93lVZa6w3m0Wu5l
DgkuMtrgMC1OcKz6eP6UFdayGeJeXRSVtCPXLLF8uMUQlmNSbFvbsm+9liZMHa9zuaTBDqlLf6e0
gS7kGrEyOta8IRkw/+y5CV5ZfR53djxjzQoGbadAGSCUrW5LQ2MvhxBzzDILCDvaok2iJcEjqA1j
X2Y88a5Vp0d/mOJtMMb2Vc3ZGNj/qJ0Jx/GvDbXMF2uoYRmSdADsQLlN9d1O1DX2A+8UTOjeI3sc
QZSXKCsYY6fFlWwX4yjpR6ooS93mslxi67nPvdkOPWdEnmuOZXuZEsPsR7mR698ldqJyQ0K5O230
XB+Oi1JBJCut2fdG6TyPZZ8R8FJk+cnukvZrZeUukSmtPdCjNoSROM8YgnTQUUWLj64WzGm1SRQ7
L3WGL3Vu1FFXjmtdINUtvptyg1hf1FtM+tmlNq26XeyJucfjV6VH9PPNKVBtbaOw5WgdjrWT4VL0
4zbKsT7fzGacHZZUyC+mhOVKJsZcrPcGUOlaIuW5xT60purkTitOgUn4iy9k980n9ELSTUQsuNOL
lg0H9e/8gwMieNxZi8+SvhzvAHFBJy/WZbxJnBWPmmYVoQLSuVnwoJ+1Wkp+bmalu55cbXyG9Eqj
iiIv3djuJL9Msqf/mzKOxPnL7owsWl38q/hSmWnc4xhtvwFWzP2N6aT8PqNadbPTPJtbylD3bioU
ZdlaMOJuH2zCbFOzPNLaEqcS+/fBhk24qeqRxbjJkzyspInhNnVaNvegqrWzSIL+MTOt5CapqDSE
48rrZPn5LQL12dJWtkGs1LooE8TzowMgRAiMR3kSKGV8YhkU3yzpovfTyF9j1yaTyk1YiMKq4eus
xvN9amj9Y5oB4Q0NpfkCJnwz75PKnS/1gdwjgnDHDZzLGTNlrp5RYlVRO6/lL+6hZ6+bSpgE/AQk
rEgTqmn+gdEg209LXBPjlAUAukewFjPkTsJdpFVCzwrUB/NA421nZT1DoNpCd4emHNLeenb7ZQrS
11ZdwbLtDnZGtR1h+3FuPLczt0kH9GG2KcLSgF/TJfr0yUsQA+atg8O3q1+SWPAwCEtdtNYwX4pR
qs99b9s34Fimh5Eqd/fnE89viuT1y67+JyZRaAZ+Q5jRPCm8QbPag5atUTctpO5Z8nDrRp7eaD13
muWfm2oMPGVQOlD6szesaSv1ay6pVT0oGB/EAv5szvwqNQo4KtEBpOtIB5Lw1TdzxgS/nhlkSXuA
IEriBJO01YzWq9MyasO+afp0w3K4bGdkrCSz9FQtueTA6KXrq4EO4ZyPtrrAxgC2L3bqbzIrvVvf
TXAZdhCQYq2pVag650PNwHvnx3/dfY+p5W8qmcYkqiJJtO6QaKa6iGlwrUchT0QqVw1IlvVoZyl/
M/BSvrRzg2t4FLxofed8eJg1fv8yKDH8VRkG6mQdr/zzQXR6DdHbjElqwgEazV4m862qgnlXE7fE
fUW7GKSW94PUwOEAOSfZaYb5iknjCUCHxTiGcklzxmTTo129GhrTfh4k7vpssYpLXa+sFxM11ISV
TIrhEiO7DzLeKDa6DSU8m3ihK5aSQxJAXNKNFOfoVFGvllVwooAEtz9Z8yUT3pEoXxSO9brCmBCs
zkPSuHcahGfC4RIdsp6wbS20WtZY0HjUvWNNfGzPAgYRnJqdwzLnkqTgP1rIMBZhA5QGo+taq09i
UbcCZSNrCl7bjQ2k53MATz609Qz5Pez6rTnF8rpgCH3Ke2IABuLi8Mamw2NCGCUuC8csXxqLrLuL
rly84aTiMeEiZQQZaVPbTVsnKVI96qUVl5i4rbyHWwDdS2vtDT9ImI91DLWpVRa8AM9dyuRYUNJs
4mX9BzEFfbzRW9qZUZwhiRpQjvjmJTOAFguxNZFPPlLTN3qaCzJ2Un5xIoJ6O7EIA0KaKOW9CQaO
NlPkc5zWcTVyEGl9u33S4Q9EGM2dqHUIK4uqACT81HBw81Nbfpnzvtg1WZft+4HqSi9G3g6I+90m
FW7/2GXli9dwfiSITT77Y2llm2Ze86HWaxesfuaLZVnV9k6qnTF3W0eDjeO2sIZsH6N4EpHvdOWx
Ix3odSIt7dWeDWpDszTNkCWk2Fmd33ziJOqfZqVDcBg59LulaJ8EaW5PE5b2oz6xMnbr2U6kQRml
5EKNkb2UE6kY5djvjCWpjuBYOLUIzwqpnbzbymr6R90ggg+GfP3qtA18fpsTljQ4PW8asbADdOB6
n8ychpJSpbwmXgI/dmyzsnWxwHrid5yMYtvGVVs7C+9ISySPAQmBf9npi/pai4mrUi2E3nE6DJ3M
JtweD8GFkoqunEnLOZyCdQtNK5ZuZ/ZoAFWm+oxY0D8ZI20WiGHBKTFkc5HNnji5CReOrvy8F7rp
RLUvhkeGBRzvxznb+2sHiF6+vK4K+kNexjGZtv3yw+ctXbaZv8jnwq0+DZMnv5CXwXFbdxIStW2Y
FmPKDAcDRiS0tXBev/Vkr9ljPhKLJqrpjJ9mayQpeX1Vp3Wv0Yti3JC2I18cNcEdbKocTz9d7W0/
ZHRG1sNrNukc4NPJVre6aLgzdU4p8nMvliIRoCoTc74s0F0QWtSM9HUsfOo0Vvl1pTdfLgmUp2mg
u/bzMQQXSiGRCBBkU6/NV3ZCx8NqZ3X7s+MjLB4fvGhl5IKSIc+OUzD0mOxQ2hRUJZOAUx+7jDDX
9oCWaFwGhIteRMORS7828pYMlFYhaQiNafqj8clmW3jdRDTNCcXIuDL8/ITulS6n4qwkIgHCNIpg
Za45aL1gJqkezAyAG25xMuolMYb8IiZbJk2chVeQsSMtuJhcTFo7OiF5PcE1Qc4jCM3KGLcCaFwE
khQOXQFHi4JHb2h8MXbA3UJHEIqP+rxYNo0yB7jzV5ipREnq3fwg4F+EsdmUR21truBoY1njRE+S
x9qpWSNdQp/thnytJeP/VJk0e9TCEmcZfPzP/s3PDXsq6N2KOrUJ4tO+6/qylsuexu0rK4ol1SJB
+NejSQTUTtq0hkRtxGfdKMVJ1maxQcTtn/yuVZ9rgx4acS301BC4idOI6PpmsDlpkYbQsbhrZvsN
z1r9MiVseI2ugtPosc7WY8olBCLefNWBCeLtL3oDv1xFK8elPO/IhDitz7Nq1mUYaX9LzmtJRzLI
PGreouGPs6HPlxkD5/t07XpTI627AAe0F8PnkbCXvv3WK4IjUiNObjwCU3dGsz4/EExAktCHLF1+
Trx2v36Wt35AhxTkS3GuxoEuEjF6GxfBxP3PvcHoaAH3fpLeeCz59J1oog6aY994ieawVYyBf1IB
JZGaC/N+bMhHCCpgZy7xuEeb43CUurlxL10gRVnPjQxoEB/nUhcnYJPi5JgUsdV6D1JKhOcWWZDc
NUtNcT4arGbknAGrp0yWBf05vS7Ne6JnWWxZxz6DqJLPiMyJFcFKFf1sCQ4dTUsfztNFItKRdA1K
kJbVREYcc4rdGtS7U/VEodRx2Kl4sYFLWHRB65KXYtaH+qU0NRrUIz1jK4s5KnQUzhb0141Jc3nL
Zs/D83OZnTyuBp0jcklrO3niVD+TdWdW63mCiNaLqQFO39C0eZAr91xbRloWQztwMXWWt3TgPSqI
UHvS3UFyxrN41jQ9Pk8j/TKznKrsKGxHXYyypIm4LpVYGsxtU1jFDThPCKBu5tD1AvJnqYD9IaVl
wjvZ0J1Gtrymshlo8ZXXf/fWrM2Or04iZMGLmwUcQkg7kV9gRlFyqHYpj7ngJctklt5A+nsZBoer
RiCzdTT9lFdlKLgGXalzGhpG9ZmqJLfDfiKcJAQZElC39E52TQ4Ki+xICNJjXcdUs/Mwb4aeGz77
KMwLk5b6z7/9+WICfGeL0cgo/OqM7KmSTeUolm76BJ5y3lVpnhHHVPNCZ1S4ieewyOCqSm6wHTCE
XJxsuZLuwols9GZIscWP3l5ql2QoDrA/G8Ue0Xc2qMvzuFYB86Q4khGq2e9pJPCLRwKGcwATvv1M
zlUKuYPCuqOhsu0d4kHCggyxiy7u/lYC/c+o8oNRpYXhhsL8/z+qvIN+lP6vzSsZd6+/jiv//oN/
jysD9y9QFljaKPUdhyMT/8+/x5WIb/8CGc1MCww9LqnVsvTvvA3nr59GFd9ahdQcWP8LOG/+ZSPH
ghixClsguP9HcRswnP85WGNOiUZG19FwYh/QsU/98ywS6K3o4lhplzZt+Fsf9/h2sWEbVeVSbL3V
JqYTC3vmyDbs/dpetjTrwWYaPuEJRT3ez+wDl1YLRsVQnX8oMn1wUGLnAse1kdMbFOm26JJzIq2D
XaAmitk+2fbF49gXn0bT7miAJT4RlCbxe8CTiZ6w2dQrQfFGOh+DArs07zrBgVJK04sWK6mubeTS
98ICv9N6nb2ZWbC/6Vofzr71kNf5D/x7wIbj/pbMtu6c166zV6NDxi1HgOpMS76/qKWvLmcvHTqo
tBUgJmvJNjlTitMMe/FYUQds83zpiHmjJ9u1vYXpu17cTcLlvG5cDDEhlLl4M0yTrCAbKysNZ13M
aBAbnSrFJtzSUc5Jb/xDWZpnqUNtsbrAuKoK45JlrmLRD+g4+rQgCiKOQ6X8eNfpsoLrbNMxI0QH
RHoxEvcIEwi+WsTNqi6Xzqbb5mjeRQW4FEZdTM4Rs47dZCaToHlmcapw2inZAh2/o/OjNuOcPgaz
YT6MleMeUaQPz8IA45W2Ktjos1XH17KZTR2yNFMX4hWJcNIvoT5ay51oLPb/bTbWvva1KCeD5JO6
7DVCa902b8Je1C2xig5mSoB8nerCzsnns7KEfx0kAcFTo6+AY7DlqnFfmW1zMD1n2nuVECLMDNu7
mSrRnTWvI6F2Zs6TdkxmabSEXZI5J69odFqXxJ5AfiT1OQRORShn3tvFtTZnoDU3WjVNybKvZbM0
zVWdl5mWgtVjNug5cJ2G1qPDOXDiFBdeLDq3eaY0c87NAnS4CANoW6hXwwYUcz7exgTD7IWqfS+5
IaUEh+gOIKDeL3t7kU135txgzu7DqPetfqcNs+sn9IlJPyMybSVomztAET4ZIGHh0sKerojMmqXa
AQAWfWSUuvFU+3K6HSdFcsick3y8MzMjB86ngRFAcQJaQOvbNthmuEQf4datrKnFg4/WudV0VRhM
60MRKMCRiVo29NfjsyhTTUasJIrk3kKmj2Cqi+pay2fTiCo56zfLMLrDriQAHgKzSmt6R50QF6T9
pYdalFixFyIKo9Hv5zsSuL0ktLRmeipI+mSSoFzrRaW2uSFWPLlhEqtuXCYJxMJKONmpQdw0X0C/
WvTW2VaJ0jkFl8sBk5/85LaNeAwmjiqhp4hDC+05X1uhASFRZp4j3fXd+OhLT0Mf3GJDDpOOqB5D
M7ol1A3hccvR7oS5QzoGHa+U3qnedud+8MQnbLPJ3lM2xLrBuQlyoL9xKadLShFkO0pLluefq/z/
bIgfbIirA9X804Z4lQnxvX2zG/79p/7eDX0UOuxp2PmYl+BL+kW8E3h/mZaPnMfHsYHw2OWz/r0b
Bn8hbaH1SJgDThXHYw/9r/yVNVcCwciaThCsO+V/kL+CQ4NPkb+0OAHtIKbBR+ehJVxdt2/0aRYn
ygpFr34pdK1OFS+s7WobWgsxo1RjktuCiJY6nK0BwDppdgbTWIZ7EMZKmgjVkomQcXp7RbVpBzWN
/Xx5mpbSth8NosSLDTFBX2giJQ/VxPE3S1znaaCTccX8sfu0QESId1md4xCpYY1cJSP/MhrcKZB7
LU9xX3a5uASWsxyqCRp701lftJFh1KXOkJ1xsWt2pyFnWvlgFXHvnVqgszTASnfsOS5X1sqmx3pN
9jcbrVvrIQ3v3TIzY1iKdt5YjW5FqWf1z5hmRiaBPbKWq8LKONCpBtH7ruDe3jG+rtzIMkVdwJ+I
sweD9SBMUloeUZPlg3tEhkWzgW7unWv35pFdOt2bUw4GPZi3gMtXWY7KcPgNprnPzYw6wio+ubkX
5wf+E+uKEVFcoULgxNNhZSFqyYaa1hna61SQHODreTXSXPK0aGFSugUcEEzRQPm/WVJPORQxWns2
9NK5GgJn2hpd7xnHPghUfdktQfy4VL53Jz0nvm+62fSPTdxZ2iZvpVNylrVbFUEBzT8PFON4Eag7
CrTkXAM5hAos3oUb1CXhth7Xsq8ASnLkilGWzPN4SYNnLWgSmW69zF3OSiR2pu9jWNuHwmAs2zVw
WsxuhGlCGieRfDMp8nas8p0/x/HBrivzs1ws2lNLqy33QemVNnvh6GUHW9P98jFrcKM8oD9AJ7ft
BUd6NllGvm27N/t81tsjZ24B3Scvncx4JbC5SbhzYGQdtO3bqiUNjQ7KNfDocTvpMSjWQBjHbFiA
QMYuEZNkbxeUd3mUOYwbbTLDOB8HXdj0jBrCFc8DMNExmcoDUGR0hzBCaN59wbJdOeYx6ZsrZ4Xc
LuMSEtWz5tYrxPywWCciM7xC7IRbtA+alt5OaPPCho/ZJctE8MIwPxv6CGvdy+JdPMx3OqxK6PyI
xBlr5SdVafpROtRAXazMiwA+SFi0RrttSfwCaDRl8I/Lejf6NQPHcl6OuuLVNN3SfIAc/iI6n3G/
kXghoHstsqES7mrhdd0FysH82Gbjl6ZuyouGtIdL5Xr9ZlkqyE60zUGPR60tewKkJddHQ0tQaSJK
lBZooWQyAwk5/e5wyqPvywQ9riWWAZ1miN0wf0UcSWe/n5MTgEYk6Si59rTz7rpMgzdeZ0Y4mE4c
2U1ufOLb55e5M2tNGBO0diTrpv/OnjYTZGxxcXjZDhCTN4UnrTXGFGWcUkcxOnfKKs9kNZwWI94H
TU/tZC73mQvoVG+DCy8Zz23AeX0hkpZR9jZhFAsDNI38wX5oldr783SVo4mgvd5Pu0aWcOPjBa5L
bD+6FMkr8bLdGFX5vbTpj5lihLoPYfcu05B8K8OIgo5+AVMcFsHMv7IlsOecCg1Qe2CEyOjtWwjv
YltNjYi8YBh5tiQkIe6Huzfbijz6NOgPflN+XTyIJMgHggtIzVCfGiJ24IDk12nQ5ZyFYaTwVhi3
SapuB4imms+PWmpxPRFY/Fquq1nRxx6hcXmrXXJ+sM+ZqVyK/y6NuGHNTiJcf/ZU+pkYFCQB5vQj
7SrjkHgtdLJMlbBzV4ORFgcXPcXmtmVZv+1g/RIQ7AbHIvfOsdvcjkOn71gmfNJjtdGLoK93T6wr
/cYcvHgIpdXl17nZk+XbFd1e50bt9Fr1107ipGdrmoKrZtLPS6N14OshGicmiStBfzNP1Q7gJXkC
ufRAI7RnQmdZXdJ1vqbnO+bfFl+vtl9TO2NWkrI7KNBUhQHrI+/uS1G4O7Na4ruxGK+kpppoAiP8
4Gn5g8MEKCy14bVdgs9ugggDARTPcS8RopXIQMxxR5/rWLv5PjBzYkRR0l2bRqL2o998FVBYt2QZ
twe03PcS0gEPMEX3pkrL4dJRo36dGta5D+SpbNNHt4DjbDId1HEEhKy0W1cLXuxgbCNOyFGxrqVS
8z/5rbVvs3w6T9w6OP0DlkaWUf+liBPjcwnLcdNYHq+aZseh6Q0k5w5bIM0Xnm92O2dQ5mWD1idU
gyTrAQldGhVz6e/LqV+Oad0dOglQN4uLPS2iLEoC3LUZQg42szJa4sAL/ZH+OyDu3v4KELxbO7ma
fz0vun2bVmsX02vUFTIJLZrHgaiI3Em/gFywo9H8v+ydyXLcVrrnX6VfAA4czIjo6AWAnJnJJEVS
JDcIkhIxTwcznr5/kF1dtuywby3u4kZ0LarskkSKmchzvu8/9jdT0nAnjPmjMIZ9idDFHRYu1tR1
N5rsvlBsc2kSu/hgHSF2Zn5O7SzfDPw8FGRXmU8OV3IaZvgaWYitAXGq+eCny2UCU4aACili75dY
nMzEjLazos9e20f6S1j1NX1EgkhsRXbEtjoZJ9NQ6OU1UoYWeYuEZwAW9msEl3SM0Q0phKi3ZV/3
NxqEgJ9oWr13exW9gK48xsq4Xs+wjJXleopjXkYV55FS5uWtGrFNBcacG+hh5iXt78tUcQ5umy3H
adAfjUmt3/HOkSAeFrS7bKmhAFfVc4GZ0jAqKBvuWW0zdO5HoQxXEduJ3xljd9+a5XUsFcVvMoJv
Z7JsM4KWWqnLLdGq1RFt2lenxZ7AOnjUWBA2gh+PQuK8eeV4NfajmMO3dBFyM2KjOBBqp23Saoh3
Fhik5xAM7hcZq3nSDi9uhEeH3l/lTOBu9lSjBqRsuXU+LfzlQU+fpmfGev7GKjh/sUfF8rLeedEz
s/YRltpPYKVJoISW6mt2nD7AqqjeNKprOBfhV7o+VcFkrB8i3rDUQxMEouuAkqcsPptItsWmSL/V
MnufVcW+d91y+Kq31Jm6fXwBvTSDGVsEHVC1gBVM8Nz6LKCGV6syP7XLUoFy9zS/t2V0Flq+77Iw
82FnQQR7t7qnELyBa3Xi/g4BnrNfbKv5qizuntzj6WFoiROjXoOWdhexzw3y029N5nxwOufbBkUC
Talh/5ik4mQBtOxqV86BOSrJJqwtLghMG0FH/YYfAy+VPu3v2qUEn/aJ1WhuUtGS2d61801hjO5+
rMSEtKb5YHkUPhU7CcKTehBfOCDbaaP3OiUnVjfG+c4oo3Zr0KnK5dUq5UtDY+IJKsrc5syCT+oo
9Rn6LXfIaDVm/UsR6+K9zE3rneBzBGbL2hMSxlTRi5yBoec110gNAYBF92IUw9HuFwWEXw1KXbsN
WVSohh1LiSQbEjMomDz8GK15FGMkEZBzJ9mP9jYrhugLee+dFGcGLb+A/5PucrC08VsVWtauAeYN
iq5GAwjEfwiprPeWyXQ9Lskd79rRTIG6XDqqg7yqUii+/nXojM7XyGIiJj/USSOvQk+GDfdfViEy
L8How5p2akfke70jECeW6XAs6SELpX5J41R/TAzyT/Pack5JXFSntAM6zmz3y7zE23wgYZsENmOn
ivc+jxmYUviLtAgfRSQLL2+0IFQMPYAQw5NrSs8hG/Yorbnc2A1OmZLnrkCW5ZFXJvxKKWs/MQaK
76eG4wREn0TbAfYcYeCSxa+jS3IWA/6WsjGFsoX6caoQfhHYVEPBFieCIueAZIYiYFVJeTwUVBiR
XXMn5tWhqox7l8yDHeKjj7zsH6t6Rtls0dRUsKdonQlsPpboxOouqI2ZRO7alGcgigEeRtGe0IGS
s50XxePUESpOeDNX3UxkbypI3dcrUjnplIERSStS0ak2K5p62qLUdf2kCpNvmRQBjUc0nuAa2Ey5
BZqHwdeanPDRFvlNE/fGRRpuB3pSfjL8wonE7UakS+XHwJe8pcPthLKIgMS+eJRGSti10Ufbxijd
jYEbkaHboa1OSfMzauvVYZkVWwwtzcVywne1lfhESbHcxWM23TWzrWzd1hL+nNtMPaJ2b9U6vZTT
3F8QOvtFRS/A0srMiw11vmjIchViW0iPqHSUmMPg2a493ji6/a1i30Ce+KI5y1tUWztbtP0Na+7M
i5Ftx3w5hE42bBZF2eXxp+I05JNYrXoj2rTeN5m8EpOJAjTmeIwbx4eLUrd1zXo7aFLfIfbfaZUp
AFfTE5omLtBUPaqZ8wgxQUhhsrxNdv8R9tF7VWU8P5V+13dnuwofq2Ghe2Yqo1dFQRnRQ7nB/Sx+
pNs3i+s8U1IcSNetdhmXo4feGdU7jBrh16q4MYz6LkXU5yttqvpdT5cIJWWResnCamQ8U66I8QaH
6t5p4UpIQ35cboLGU5U63uJxbQ+SJ/h1lvF3HRUmEe/j7MU6CCXILhJbKNDiJa9SLNZJIgpiRDTA
q6nScwa8StoBxobybuy0juylqSFawsp2aaJE0q81VCF+lXX1izaKBFE9sLg06+Zx7J38MCBiOTBV
ZweXRpad4ZbGtp6X6ASqaG1pynyYJXJLDHC3rtOn1zJRxKeZtP1piRPriIYYEJXC6GOPanVLT5h8
MMoZA5zU3tjh03NWGiz4EajfEg1QeVV0o0+27ve4ps4YohGXLuQA6BWCo5TWgO2ARWHbuTY8MOqZ
UC/L3VDqRhBNSIELcvBp+ujWRHXU7qVO8rFBBJRVp/pGozX51hKdRTzi/I6U24XetqEBc14xhlqK
yHCPynQ+4KsnvWEcLqKoGCva2OYudl8xH1He6th6kBYxGHJtloxBcgnGjC/fuiOFcSxZJOXzuBZo
bzXkNkQS+hWep22MBP3A3HgAT079PC+G7RqvuOE0p/WhMMtNjtooxS7PMuXc96li7FiFQVz0KX0Z
MhcSITTU7MxVzS00si1c5tY94Rp0vJpMg0Cjho6GncJXBtaPSmjNyZ5bFUFLnuzbjMoLKamyQYSn
nrqs6Y5tpX82C3p7N6ddi91CW5KL4HTf0FJXXFPJ21hlKDbcDK9Mno++MirCs6qkC7LGUU6jkV4T
jf6urCrOkWU/VY7b7pivG3y2PP7tNG1Loe6I6x2CvDPZZXDsrxJVvpTTa16SdN+Xqr6zqu481xQE
SYiKBe0YKMPamaKXfgE97Y1dzI8HAQ7t7avxxKlsquE+xk+8QZ1gMrTMx5FPqt+vslW17zgjTSER
2A/vg52+o0EkpKa5IgWaDgnIeMAKeeKIfiK6tEQBPm1YtXiSBb2F3dCOHp8G9UJynrZzphEYZeHS
hbk+yFrcz6lycNJ+swxW5qNOLV0WnaX82hgKsMk4js5Wy8UDZ+e9RusfP9HQbbIfjUPO6EeSdbBT
VCIsUTyACAQiTMZjjBqQUonyvewq9y6NFN5IZ+WDmjiwJn15dIRxJTkMr0YtNDQtKmwPOSYG1R3E
rlaIES0EMXjK7PShCOPvjmgu7aKdMsd604VGteFbJ4pd3zmfciXWVSeZNwQ+UfdXuEEDFSbSOg2W
ZvisO5IuciV7jWFYNo2hrRHYip9plK3kiwNWsqRuFJQlWEAsFsaWNMSgml5lzAHtt720Jr/GH3mL
IEA7Ksz0tTdFBKCNA0v50MxwRD03eT2Al7tq3WzKdiplEHc2VLd1qnEqQKP7EG0U1k9Z3m9BcSLy
9npaSBZhN9zQc9PfYGMnWB1TgeuRCysPSd6EV4dTrfOqVkiTuj2quhy4s8XqHhTDKtpt4bRQ4VLJ
RunrIgZqs9gRZo4PrU+2qeGKBnUZr5EZ1mAOyIjUmx7P9XubUXDZ4XdzWxCL/x6v7e57tVpQ2/+9
EgEfDBecc3H3f/74r+2v/x59r1bn6h/+ZfPDxXrXf5fz/feWJqx/4dDr7/yv/uJvXth/ROIJjPl7
JL4FH5fJ72lpkoHWP/RvIF51/0U7a9DLv3HSrvkLymiCkGHG/o2/q79Y7ILWiouv3tn16/yGv+vW
LwQ3aSpRC3gJV7L6P8HfzZ/t4STsEmFE0iDTuE5u1s/SWAkD3PRNFNNrpzJl5jma9M6jkYhO2Noy
hhc1KuyLYprVfUIW5mVFzL3GKVSEJG6fboS9ForSWzdvpDZlt7HTwexZSgkaZ8vd5Cb6sSt7AcyY
YAUyncnRcX64BpdAxpxPDWZ8GvKxulEjqAKv0vKbOpbZ1a50Z1eobrwL7dCmrzZndo8KBQE0+tPd
ksTyADVgnft2PWrJLVd8vZ8BrosRzShGy/E1QzCfBZNN/4KOZJ7qp3VywL5zT1iFAc2L//7Qr62L
S/UGLEBaeaZT0w682jFAjtFmhArYZuFk3Y7hBO8oLJcQjVVse2DvNfaZ1JSPsZLNp10n7q2els4B
elh+jyYtbJBo1uKaUFa0SonkvdEa4zHNbJXqpiydsb+m2vdUrdhQzRSHVF7r7FFzZF0itYxOVCwp
H6VFQK4nkJpdlKUpD3PSPA9weyi7NWuXxc7wGNdd98V1OwR62GnlO2a86JlTIXNBgJk5qaJNe6As
d/F6pzyw6drg52oiifBxM5vJXci3Zp7G3teM8Su5MdwqfZm/55QR790l6baCfKGPRe3zm0SVt8oS
mcdMdvVR0tNxwthJcrdpU5CHaVML6FlmW1DnXpO8n1H2zNYLoMar1PPVSAbYaq2en2ZBc6isCosf
dHK5ZEXY34jEVLCWqPFuasL8oSqN+GvWJTF5RWVNaPyMz3SDC5hORCU0qe+KtTWWFVdABmRt9Ofe
IAseeaKqZ9RXDuE2XtBRUqOrtv7YlnGQ0w8deaY7jZ8JACGj46SXZBLl7bKr07i8JpY5eQbrwE0k
qyVA8NpTFeQU55qGuhsNCmr2s2IElwJX454yqzp6Cu1Fszy3j4z3ZhoN5EG1ydyfswlVNUkP5MdH
dsDQxxyGzuCyFKZ7F4UzRT5E/uMnYrGfh8CSJq077vCBgDc7YLilVCoFtA+Gtse4WcbTiRoV6ptS
tysf3SoNn7FpRsoRZL5JN25pi2/ggG3vxRgQ7weEZeFmmDPx0rl5yFBXNv2d6MvmVc6q5tO2K94y
wB5G1rmbVyt57uyRgpMeJR2XRDVtbtGG6BNd7h1CPK8Phf6kD2p8atTYeGfgJ8pHGDy0Pu2JRG9G
pfOaYvs/0/42q4fJJc1pAaUEu4NsWiWk+ZBTFtVW2BfL4s2MYvcR6P9dUcc6sGqpn0Vvzd/NWkJx
tUJU5SZ0wvI5jRgxKHLCHc2bVcqXzmbF8+CtaspAqg5z7QDn1hFserM67QLu/jvRklBA6QCfZ25h
otpIHdo4eb34jMyWtwxr3qVRJ4EBAr5ZiA080vpqH021XZUvMbAmPfbprup7TjSgEHqFXEL7BmS2
9xp6x12VqNkUKG4XGhvDluqLRjoKbBiH6aCpNU7GskjSnd3V+SGasZEChq09x5Xe3UsnMXhh7SKF
9U8bBCkCpJvDLOwPIdISB2niWL8ONj3LMFGEcNDrGoWIhuf21mil8lGZNmA/LYnDdW5mhcNlQQ1c
Kakr4UCMgaBGKm+tcR6/N3k8vsxGKc56m4TFphupqEU5O1O+54Z6cxvPbpgFKCSp5YtHRAKaMmq+
UOsvUdbWgZO5I0CvJCwkz5rAKu2jQTlxMJDFc+ditQqGKAkPKeqiTSWMZjepxUNUmv2OpILQW5Wp
YBcyIYRMyeYS0mKwNo06Ld8WfUD7Mwi8k5XeF+DV8aChHHTS2wmd7dCfCGS2SIMz5FgnX7EisN/M
tlFm6rODHgooIJa66DosQnOb3oZTSOufm1q3Ih3D7SJyeW/h9L63hB1dORbRwqA4PAzR+MScWt43
SJrve9GGmqcmafg0Ij7GyQXp59HGyUSLm+/JKa11Exj5WDlJXV7VfiquVEY0W9xXyEKTzEB+A5nC
jg0ECr/Gsc1t50/FnFx6ze0BI+0mZeAtiktKsfFzb2XkWbU5S1iboyYZUxfQiUw066YR/PWh57Qz
VachW9zShV8MR1oH+uRGqsEADbx4YDrWF2W+LZWopwpYaSpq8Obw4uKj+wLjZB8ifvAPgPnlQNmv
ucPBi349bJbXjGgXoi8bZaHvJp8ZF6nEg6qg16TDJ5yB/wxBn4jlRIMAXXAJQZnFmF6bvJfIUzT9
NqwgbjlkMySUS7iyFhqkShXRArsYmKidvrpGi01+Ba/ng6wmcYMgmBohQ7F32ICU2wxHPQutNkKt
u0v8LezQIicT25knm6nm+yD2Ps6wUndaJsedO7vuYRB9+yTDCnm/MIc9nydrhhSuKPusbXiEdkQQ
61FFowaQ9zHbrO42d6OuFlCoqY6Z3KVKLzYTVMtNbtyyaYbnxXanQ8vFSKYE2fvoXT/UKnE/RKtr
lN5REvdM+ED8qo5hht1cqXelHiuIYgeOGh6/mEvayHXTx/ltb5Mhza4wIeMr+t4xyAgje9GqhNrc
mT7dLl4PTXKHtGS3EGO+bKTUtOpLObvPiUap6GagOrI+NW3TC18tHS2GWBjdl0QJsy8mQ3tztWSb
tHvddhvoEcvKMEmmolFvSMBOuMdcUaoNZl6k0ytfzytfaQsyoyYKJqIf560eW/a2di3bj8uSQsI0
Gu8WocGBdpKKQETQSvxs1rqZvGkWH3Gf1A7V3MgRZhtYnkSJxToLMU0DPGeECrE/8shqElZoKC2F
zLxweWHsRc8EL/KRDpP25KIJeBBNVB+bJnloSnveYGsrDnbTEs3aD4VvV9O9lS8vHID0lsdvaWe9
2P3Yv+tVywSBTjLyWrN/sUk/3Fu2k1+JwNhQe6fc8OZQUi2xEZVZ13zqizmUXlc3a8s1aHwCBJ3k
e1nN3Z1ujtnsA+UDTdUSUuLBsXq5KUiFvIsX5h34p9EslP+eveicfMiqrT67P25CP7abf69J/6O2
J/LY/3Z7qkrSu/6g6SU7ef0zvy1PP4S7GiZIArdVVbgmWZj/0vQKFiICalQdba5KVxOr0r9VTKqq
8ksa7snflMC/bVGG8YtuoQLGFsjqQ76Y+E+2KCpBfxIxmRZB7WtMpE5aOxnBP8Xf1aBLRGPMyPdB
aRlSlAIQb4zxGKHjy+a9TYMKfc5ZhGqdm7A+E/ui+DkL8bc2hD/3bHx6GBHUuJmIYWhAiqrWtj4W
qaEeKRPHgEqp55sKbDj/mixGc4MGVP2W6tGEmbenBs5btcZrwggn6o7ayuoRhYWNEqhxh+EIlSPH
s6ytckO6O1qIGTQT9YyFoV24hi/6sPPA627UHqOwJ2sHV39aLnR4zvJ1YJLnlI7BrYZJnZnkHPGd
hj8gjB8tOa4TIhGkfQlgzLDi5Ey82Xjo897eK7KXh6EqUgCIpJzuhkbZaWmvBZXm4q6ciIlW8g7a
I6Lx2pvhNr9OJscBFBW86zzdxK5I5H4lGIUAoBRhF/RVnkKS2Lo0uWLL1eAIftb6C8fjAipOJgtG
+aVn9dIS84gvt72S6ZBap1HY5gevCD6s1k1D+UDy83LopNEqxsmW0ZRtaDzyamPEa76TTh0TCTFp
IxJXg0CBfEVc2cvLLfR4MZASZMRxp+9JdY6rhrCMrB56+7QAsMNV+YLpVZs2GPf7lCueziBiUWg6
RyownPKR1GILLTQrpZMdKP6y7TqoyeB+GXRN3LftPF0hd5TpG1N9nX66cHyftPpoo37RSsIjxRcb
xmzLgW9XZDywJT/XhAkw7hYUgpK1kB0tyGZeKJmFtBXlfXpIQL71jcyzOwZruVETpkcaSsfblr4E
hp8k5bEE+g/mOiMaThOED6LCJiBCXbY49LNdRoCRSOrpvrN6A+emkmtB4sq4pAK7i46Ow1juGzqv
tq/R2b1XSxXMMNdnJO6TKrecr+1bpdX5h9Y1Qt+6GRYnbnuwt84JHQgqvF8obFpXHFsdgtjQo/yY
MkOLvVH2r3FqDJ2/VIZ5XXOfTZawOiKy1FBPUWoUW2R6Ctpy2rNtvt05p1pmJxYx3ZUkwaxMD1Ol
IUIbkMwZey/T1Oy0KiwASrUWriSzysOAW/CSdGHKQNTlxo3lpMuRKQykkzyYIOu5maSOekxFMtDn
0cWKASWC3rBuVNtun+MpC1+ZCdxthcONrVI3Nhn17Mde2PVj2i4Xck7Mu/XJvg1FqwYgAkjCGnFe
CJLwuLQ734Ft2zJoskMbeq1+ViR631ZmFj1HdbKcZGMQfjtk+b7NgSTnxIp2aTpkuzBpif9t6vab
NhL1W1vS/RIZCrF8uqPdYHJ/WjT1ttRTBHdQ6TfZMpg3zIds3Wk7fjUbzGgImqcRYYWuvRDGg5Co
n5cqog5C1e8tfLwbUbb6p2I7kJ8dr8Y2W9Lu0Hf5h4VHE0UiiYCB0s+N62WDZXyp9XGK4eyH6sNw
5ugBapay2wrb2jtcI/47hHR8jVo55E6u+ToScw9vYX4YVSQIGXYBCmzSlCCldNrqZeTsJ5OQ4xG3
teORbpVuOzMSPOh9l5yEG/cPmNPAfXl9Hlqi03isoee1mRgnUCIzC929goXH8RwsUEdHKthTcag7
3ygQj69u7iT7IazKb2BbbpCrjD5eXRBEt5krg4gUVWDvTu+7QjoHdKlTkPF0fxFkVxSeGGcNTYce
+mMH0q2CU8yTifbNtpvkkuYMJVWv6q+UyJN7GPdIXUdhpMFEbcKL6YxuoIt6ua8AznzWyfErlCdJ
EnpanbW8BukY7OmD+A8UOJrefWJWAM0mUIxW+rjdTYamP2tIzW4XARw14Ae/zvTWbkWO2lWDNjmR
Xax+sYVcMr9tZNZsq6qNNnTdqm9OTRq2QcnePdbBqkNsEyNOTXvFowg9+oRLUfflUNovOhuBQhGP
ZNHlyPHjbh4sDy/gGJQVJ78zAnvYzmCdtWaJfD6R+taIcENEjVufnNGMj5Ura4Y36JSuUVkEZzee
v1Oy3n0hW7pJfST2RHupc86WI9bK6qmxPEH4wmGR89z7htZ8J8xN34ipctliteqMYCv1sfTKm6Ws
xrvcVjZUk7nnBpFf4iFsi0Pcekp2jlXRBLBK6WveDtgZCRg927WD8HEULTIHksnuDdJf9oPTTYdq
ChMDyNJYS+ET9VYOdfa1cKvma+SU8grZFuJBDJNTj+Dei0dneRTSmFHMV+luBnzfhIT4YYst2zjA
rgGTzFqndgfk+gOqNrt/NAhenL3EaMtASSDjLBM3CviKem1aGxLJBt84lrThdvB343zC7lFkfiKx
/GER0nkdu/HZmGDNzAFJHxI29K2o0pajSIT1ofH1Fb8Ky+QadexDVqq6X+fFREdmLFz0DimKq3O7
TbZWklk35CPUDwR6IURVTAkRFIUAFYEzTjd9Qxd3W2Pl/zUx/f+L/P+JWrCZPv9uOL6Pq2/f/9eh
/VNI569/8LcJ2Ra/CFKbBM1fdCquqv7/NyHzS2Bca6MtCSx/YBm0X/gTAsYduxzOgJWV+Nd8zJcz
zB+TNvz0fzIbs97+cTY2CAF1dNXQ+Tvw99J/Tvlv4J1kgaSAI5eTLJ3jirwErUs2keNSHqqZz2Mx
DGfwjwSPUf1MZL5yUEf7olV9jnhsiVe/plHcuUNRXskLfyK1BhlcnaPfrgyqMZceJ6oUeJmNWbG3
KUj2av6+1PmA+mQS13Qa5ZurF2drzM+6Mu7CjvyhTpoA5Bi0PCAmMuJk8tmrfXIpeB39xq7L1Wm1
ihegCSdIOy9Rl1PlqlcLUIAEuvGtmsbJMzO5IctmtTMln22eZkFBkPuadnux9Wk3JoSOgYp+ull5
HsVwH07Yo40ETbOWnblYr0Y6n1RkOYRtKd4UJ29z3VWYjJYPs8uO+SA+Ktt6buZ2W+XE2BF3qpPI
S9KcdCwPrNfdVC0IEeVeF+DD52zI32x1EQRij/eqzM7rK9AVZC3BoXymdamQOdSlWz1Hv6AXY0aY
FnEPwzg8RPp475ST5dMGEx1k7n6Adrg7ERv02TAz91p1WKiAhD5veWFUFdlActTiXkP/Oj1Y8Xw/
1sZzrGfHaMrfZJO+VYt5QZQiLc8y2o3BDzQaySeKuKuBM2o76x3itxrWw8iOi9Gju0FRhV0C/QMS
F2IGY8k4Y4KuuJpKMn62yoGUAVNBDen7w2puxMVbL1DcqPOCdHS1Uq/fqzb4DUqzXMdWvXbauOvj
5SQckpKUQT3VNog0VUSfes5vM0Vyzghd03hz9k7lIhUg8m7F95+WsCO6obNyplwMC5g2SEFOnDSI
XWO5kWZ6JNH+SRpNiHpleihUM5jmciRoXXYBHXxvWKLdDTrnD6daToMWJciiJMrhxn4mMuIdq96t
OyaCUEJBNGq3X8xe7ptpeFgac0+rQ8eDqu9h4WJv9SL4eDqR8PTLiSjHeDMi3vRx1uhH1+ZJmBbK
iRut0L26VZ/KSHy4+ojGH+U3hgb65O3hoZH9gzHln4VKmzwDFgtVMT3ooYi9LOnqba5V3OuWEvtC
4Bv58bqL0rq4rvFcNWW6ZbO+4Aewt93651bkiy4HHkXdek5sOe8RjizIAadLrSn1axoi+LLTeCb/
IBzudIvHLp+i0J8bVMgzMPC+QVFMP5g5HNrCcg7ToAANxnOOZqYuwDbreatCGxyLGK2epuT6Ryfa
13mQ1o1wshpEfKqShurSLIb3dwviD0nkGN9Cu2IQQb2QW7uUopGnrAyfikmxsBgYiPLRzaAUisML
UPIr4P7gZ1NO7alF7zgBL3U3SzQDUyygtCwLRQ79Nken6lLPsptLrsTXsuKm5mJ+qhQRrUoAczP0
5ttUzsi1Sw38GBfRJrcaD0lr6tWLa22LpEClPlfhVXQssBEtX+wV2kclcC+09CSA66qokzWx1W1c
g/wtQq8H//WaUKjBpBnOraHa/W4imQwi0X62FQuAuRkP4SA/lVGeDCv7hzayNavrdzYtTnGwF5dO
GD76tmn/3ECTpNiK0hGZpDEg6dN7EuhDZ7okZkPDs7B+hcog+mHyr79+3d/HH3Pz/Om7uVxo5Hao
uML/VBdhjH1pEQOzR2tcBaVAepzj9rV0DvTfXaZ/8Z3W6Keffq4VtLH5ZsQd/6ngebQJzkxpX90T
EPLmhpyG63GcMsb7CKjb6sA/qf+QNQaQ9efv6cAvkYvlrv/Lr/8uFy3SSzd2MKcS7mzGG7MdHlCF
5YyuqKkV8nrXn5dG7pNsOQD//sfV/9waQxkUrXLsoegT7J+bi9jqxyWdnbVzR6L/qgrnOhPQsh4X
J3QvGQly08fYovGkIWs4pgMmNQlm4Ml4/ohZuqJyOdHGya2rm3vXLRQ/BTvVnBG5Kce3Y4FjAckj
pUvPpSW3hTncT0X0pJoxvNJkXJDjKf6aFrxDVFC/ROBzvuFwPPz9T/oXjxCMkkrVjyUI6/45917L
E9L6NKPcxxr65kq9qu5yLRbZ/MMrumKPf3o3DcA/RqvVM/lzqRARN87EL/KsurlxQCl2nUVibNSc
Q7i03DRonezcRYLAymG+4rku7gjlYbtbos9m4FxeR5U0Y4AALDoR2RESntI/KK51gZfdQfCDzNUk
uEQRsz3pT9NzZGpEikUa6UTJzOIBT3xfZtPTJLn2ey0xjh0Rr5vR6qqTUSafYYLNpMzyH8qGaofC
8DOslicn6rdL13J5kxUQz+Y+jkv8GXhXYFKmU2aTAKT1y9WeG93TNL626yiv0gQ8twUz1t+/YX9x
wtCntXIv9DBopvOTEZQ4EUQZik4500gsL+PExMmGJcDylFHf//33+jnEndMMrQv3FIZ0umt/7tiQ
2pxg8aNBxMwGVBnJkYL6fzgwf3ySfjpZEOmwW63/7YIK//FTnsRN1pHqW+4rd6i3bYJ+0giXj/Wk
Jzdu3nVkbWeasXcV7TKGLt7FMqevMvzapuk7Ou/S0ygQJgI21fdDyiUeu5xO9VxAu0SfizWyF4YJ
FYe6taxO7dEjzru9yRNrMzj1o9Pxf1st8bjGnMx+bjK3CKF3fuM29VaTpD9Ai2m7fqo7T9WST7Pk
EWyS7DxM2TEzo9l3rJQBVYxMv6L2yzJO/EHt7qtSizeGvvxDKYbxF59Y3gtasRElUZtlan98wUqt
7iZC4cu9yFkUhrhI/KTrmeCVjJ855hVIGLeCfHYuhCrU5FZIADlR3HYpz3KYlRsFvHM7hsuIb19U
QR+rz2Na69juiFAAibrg0LVQVprY2bQ0MCUnUU2ITGCn8xPA6seCyhSz7JdJZzpEs5L4khxx8o2e
ZgYxFIlxvdNzeMh6vI9Mq/dSyfNp1Bx8xFah1laAcggcdXeauTy5tRz+IRHyLz4k3Bnrf34Uma3C
sN9fHWPUoKQdKQ0anTJgxJk8e+SvY6i9F9bRP7wj4k/BiXxOaAzROdZAqmkQ+ekz2Rj6rIP3oSbW
2hLxU4viOUyPITeVK3h/lopHcplZkAaNY4p0jOckys9WxgCIUtryqtLFw1AMzca1CF9IqHX3ytlB
gChulMG5zV0I89hl2p/KSg/0mvzbdLmf8vlU2OtlzGMW6dlbOK5TKnKEdFHPTV+S5FFpPuMqlqbU
wZhqXn6sl+gu9CAx+Y0uVKSldPyJehy2ddh3CD47OlSd6fpjCQqJ3QvGLgNZ6ceHpGORdGjPhhFn
1TOXEZ8yIOW8ZqPow4OWiWujJEewycYTeFSTMpuD9R8UcneJkF8fyLofUErJdrN+jNrJvFT2+GBF
6wJhZgqfJ6SnecO0pIbpecL9E9g1v/v/sndmy20j2Rb9lfsDcCAzMb6S4CiKEmVZsvyCUFk25nnG
198Flau7JNe1o+9zd0d0tcuWQWLKk+fsvXatmZ+rGJMTZJjqhHv6a922HgZytgppdB0BYFm7ZA6v
jdT4zCThblAGbvDCRMuWHbU+Ps4Z+QdknLP9adMjm+IdkYGwPmDLMvKeH6yhvU6F+SVshvyYCPMM
a8pTsp7Wy8ZonEGiDVVdXDlU9mlrfJY1zpFfv3Ktf3i8qXVQ3+imxR31XmmYTrScpWES6GNPX/Om
v2t01r2ebRamoNhb6q/XrXYBsQVhPJXe6zOfh+12GtAxVzE/VmWKaTr5lS74caevlY0cG7+ilA6J
1mM37VPRaGzQkgx/vBFtCNANvlZa6l4z6QXiFLAutmhkTjnvchhWzFI03jFxOz30inJLrxV4DT3q
1mOAERGQ3rkL2BiyHoaq4IIwKTjYMR3mnjdoLRcRD1tSt0uv+667M8wOLFVqjZsIGJdXDfNVFg73
WOtxaQp44mYxfbWaGZRZ2d7Z7A4g+FjnnkWETWZ3ryxIuFTzrf3X+vrfDtvvOmyK9eRv9+oiD34T
gXP+NvzP/jkrG0g7394oeP/8yb9abK+i3H+3yn4MoG35wTSXrBudNhfly9J5+2sAbX5QzIVNlzmz
YEFbxsZ/NdjkB8s1+eOwOV4Tvv+jEJyfyhmKGEUFytLJp4Do8XZVQKw/BmiL5n2yTGDVTJlOA+fh
byflH3ZKPz2/y0HYARL2w/f8KTqwLXqtdF1om10iq9VoN7MX2r29LhOj3fz6UD9tkDiUwWmx2f7Z
5Au9W+WKjG5/HKiZuNOIVT+NGNFJrCBskJG4BlG7z7CY8d4yDWiUU/Gbw/90OjEoAG2kEhWCiwbx
680ii2UajKglqz0QuHuZ2Y9O1Pzubchf8bY45BDmsqVGuMCW+t3CWtfa1Om+qPamGO5HUz0w7iRA
GVkEg+uKu/RfmLR/uHLk0v98ODTjDiIIKuwlUu3tN1JBZVjwV5u9MYDUDpKMeq5wtYw6z89oMRqf
DH+oEGcGVaszbcKCtapQZCGmTuqs9hr8eitbBsJdIYlMDjg0XQi7Re9ikEEzTlgY83Qq1kqUy1jL
XdVI2WANZeoPGQ+7oG/a77nhoMStW10+4Pcp19rkdpmHOkidw6pj8BXyxuz0aXyYGM2fmGgOIJGk
XTM2qdzs3jLT4BE4bIEgtVYXP4BWb7bgKS0TtUVv4LDsgjY4d4Q9rILM9VHadiRHovvc9t08H/Cq
XWNH6rcqy74bdnpXRMZXJvmXFhUys3wnO5b6+CXokYa7EF43TD9gekCU8ZJyrnZJZVIQ5sIzm3j4
xni3YiUIb8iP1WgOMk43JKDooRis84j3eO1qln+UgXqwSaI5xmFE8d3ARoj6/huDKPd+zJvIm0Qc
n2e3Cu5bCwpI5yRr3e0Dzy6Wvtbg95BaU38T62N4zdh/3YX4gnxnGq7MQLeSDbO2dgK8PwXuocXM
M8Kzsd37ymaPHjomyRhOZJ9KPY5h7JQCxUA+1rX1ycht7TFM+voGcBx/jzOO8p7MdKQJddTt6c0g
q67rNuOqotH3swrSF8EPgIRJockGlHZVVqEHLGi4xkMu0Bl3cttHqf5gFNQ24MdG7ESR7J66SAcA
stYnqr7ZDu7ZHM2bPCrEyrcywwsrC8M8TVD3MGu1fwLtXF/KmelaVjcnHzzNUzU77b2Bu3i/oNKu
xaisfZZzL6BDi7Zdm4+7PFNPITNldC0RLtCY7vuevZ170dG/70CA19dzoBW3XTp5Ejn1dTAWZYUG
OtW39QBGH2pdEKwiqyR3YTTBD7tGd0WsAUTYObRuIwTuvg/THik0ibuuCL4AjQ7RPZqP5DIfjcyv
sDQNl3JKCERvmJ71sbYzsC5ftQ1jtCjsmd92KO00fxA7qVAgCr1M9xPW0INZNvDxCt2HlB6YxU02
oTXijkbdtNJwFl6UX03PjYZbIOWhOfVBrF21gSV3aqSysVKNONOYSFH8CpXtVXrF0YDY4XRyNU3h
Ex/Bu5ThdBw1x39yKKNo4QUk/vn+cDUyX0d+1zEddLVw1/Q6eQQJGjhpgAREsjyuSTtg0mqlw3GW
oTgtOsKtH1suNM8iZjAJ/diyw2cMFI+uwA8StK1+R965vpe9+gLd56Q5afAxKXQ0rjZnGqPqsTWK
bt37Sb0CIETDHNIs1kSxpAXE11pT4TjFB+Dl1fwSkVTioGsH3Of4QX/w0bxuyAC5YNDdsnUM9rHW
xauCzdluhs65JlGx+lQLzUYTSratV1Li0h4p1HPTQ2otwtLaNOO2KgN1b5qluzTe6vyQ231z22ml
QvmoO4coGxSG7jBdj68gtBBnHva2cj77adJKTKzl9KkQTnrihTQfxOgOK2Q8T3WBiJ6ENW01ML5d
p6WPq0IPT0yNdyELAI4YlDGrYIEtp5nIz03mHNJefkqyEPu1L1DrOzU0RIdRO9Imz0805zrwE/Jq
3ZhtSrOxO2k8dzr48rhT/U1p4H9bmSnPHq8E6yaa4vHkWpChrUzWe0SQiUd88vCZuZVCZVJzZN2N
J7oDFg8QJt9xkRlp6aMYKp0J8Gxc1BxbnkoRtYk0i5tVYaYKW0PYbqyc+0uM1viSZRP9eiptTnO+
Tmo7fjBDsn4nN8IEXtXpAvUi8ifGh7RJnSrddbNtnGCoDxWdprm/yRpH2+OlZu5W2V9toYJ21btc
98o3YxyKjn2fNqPY5dja8RmRD2T3U7Qn1hc/p+WG+w5091UxdubexABwY0Ui2YdaEBCoAxwvmnbp
FHL6+3D8JHhzeRKU+JaTlN4rwmLWjELLdKW1ifxoVNbGGrLssZ0S48vYW+HZIvPmscmVV+D3ZEhZ
1vW5E2ULpIDc6RYHAqRNnKdAvzSPxfN7njQSDU4NpT/wmwPr43DoY8U7oxqZ5V3hXkR/58m06f6s
K/5b5P+myKebJ6kS/1UV/VTkP3yrM2Smfy/vf/zMX+W9+GDYS2scZoukyF2K9b9KfPUBKAWeFXSi
rwRYjvTvEn/hucJQshmkvwfHwrSjwW9grqMFbdj/yRz9XU1KhDy6bsx6iq2zzTR/+f2/zQwcQQUT
Eaq4dxxaKAQ4Oyu2omr1t3PyD5XiT9MQJKx8R27+Jefzpz263wHzUdQd+y4mgpu0V7DPzkgoW96S
o5hZtjqkMxpUr5gx2v/62Mv1elsTc3CEtLT/OG02J/vtVwTXDXEkcdx9AMgP4GoNJK8fBcc1dYJM
EKc/B25Wuqsmj5TXzFP0bSSYGeFcbSmy8cRMGhBU6LZnmKIqrTp2i1ixcWJGpHFKlguTNIjqQTBj
GrT9u4y1zPt/fAlUyC67PgS3rM1vv4ReG6XKAN7tsfvLzWgU8xbjt3GI7GH6VCliA32R2GqjZUwb
hT6WT4PLaN4sgiX7MnLHWyuX423RQE/R+znaYZcniMNJoOvTE9k6/SDus6ijKQIMGzDDwjz/9Xf4
aaPHdXBsyyXx2qHv8H5y0hiq6yZ7cPcIlYHWg8RfjT3xQzac318fadlIvdkFLUdylikfvUUTk83b
k2X2KLtK3sf716wOVFJcPMupjlAWqwuBDdmfIqP/c6z47iFC6bJ0TdkBERTLTfZ+XylFk+cZvaA9
TqX6whulWc1d4P4m7P4fzp+hiwWfSfCNVMa7vZ1b87pIB82haUq2AFi576Vyo33SOPe/Pn3yHx5X
UwKftXnwiIp9/1KIkdS5uECdPbOZ9DDbhDWE2Bd208SFmzJFboIILRbtok3upp5oCUIOE3hnBBiE
HYO8zDSrS83+JVpZPfV+CSugX/WCrXdAwXIsUjj2Effmpz4AaU9rQcf2GMS4QNgrcpCxXFZgR8Jl
kFbzOFhztP/1l1SvTeY3dwldDSYTNFmWtgNdk7d3iQ8vAelGPe6HZQlFKE4DbllWQasl22JZaol5
+z5itfTMZRnm5o33FCsd+TXLIr0s1+Xryg3Y0sNIpj8KmURn052ML/ay1CPS39RikB8F2oF0VQ8p
iAkL+yniYBcDKZVtu5QOYZBLL1/KiSTY4rkLvvA6S/bWUnIEnaQfu5QhrC7hPqPc26jAivZa7gJQ
WgqXUBpi16jCua+XsibW4ozZdgV9uQr8ryGNiHXWJAxslpKohN2FhXAplLKlZOp9y9yUvSRQj3nD
2uosaqtWBMU+qYvkoaXyImYRiv9SjJluOb1ME95NZynVgqRVO9M3qN9iK5RrSBOWpy3lHbgt/b7s
muwRwGHyvRRhMa4S3aUmXDTdaGwx0tLFD8fPtpOTq7oUkjS8iARYissZcNWNtRScrRPl7A6yaLhh
M1b9kUPCfNapUbWlWA2pWrWlfIVmpnlAzCA42/Uxyyw+tSWqTSLdRfaRnwu/pHk1kq1JSApFsmbn
Oyg8p+V8euj+cQYsJXWzFNeCDZ8ZWkjEx1A/0NXITsZSjGuvdbnI9PksOpJRV+A+iTFhfVmDMyGZ
t3CdQzcb6rn2reaWArjJDy2pp6i+GnWfGNt82RqQC4g2qlLquVg2DmRlagwoRgdSnczrT/kEsbBA
KM2lgePRLBuQgZ1IGKqL9GkE8G7rDy05xxCIRsIt61C+qJprXluivEx1eh35tOu0ZcvTB2nndcs2
iFSfbl3r+hHuSMBO0ICn5I7BxzwOrgFdfQmXDVW4bK38ZZMV19bjROtcAvf2BsJ/1tqyJWtN39mq
uhYne+yGY75s3fAlsonTSRnuYlxjpFz4K4xUIa8otn1iobkYcTFeacumMIFisYbf4j/B7pn4MGwe
Q+rtNU0adpRkl1D9sxjZHstQsmVvZrH7JAnK65Ytad2AfzRnwE/tsmGtR3N6jhFiXbqoIdw4f93b
6jIub+bXHS9WCTa/kzAOYT6me7Fsje2Cx8XS2BKDDK/kDBNdDjTdQ8BmK0Y5QBf1OP9a90bwOfZF
92LZzfRZ9fVwzBynPyQ9/NQ+KI1TDYBoB1fQXyMd7A+d4PnSpgRoSTpNgVrpsd2IQx659owwuLLg
xIE9WI3aPH4yeuweSpfhQYchtTFSkhPjiYGfq2j141nNT9GI/yLXM+b06KMIX+qS0ouwyB2xCiee
VWDd1iwi4qolTcaPSd/t23oozvoUpJ5fUhTMPYE19RInU0pGBVHAyvGab0jAaLnRe5KG+Mb10bZg
1w81VAMZ6mQGtXrzOLuDcSN5UM8TbZbOS/wWQYdeFgQRx2Q6QSyYId/G9dfQHoMt1BubbME2B4pq
i3tNX5K9izLEjElCtL/E6aDhXmg7MNY9H/ZYteoQWsCttZK7NDDImAOC6SX6PHiRRl2omaBa00So
w2DQGiqX+LKiJealioASzxrxMGlM8lKM53zFbnu+tmDzHGcEdPtpUuVZhcTF2niDd9NAv3xtKeL2
4gKooluT+AMuL7xxlxRss1MSeyr+WsM0gpvZLn2gYMbMz0g3bR4Di8ijrlZ8kqRzsWn3LV9JszD8
t6DlA9wKsbkhxsC8EUtkMnjPaFe2kuDE2ErXrg2VjlqFpCIfBiN1ZH3ssRmuhAqJsmz7/iHqCXRW
BZl2MY6ZFOW5IXdCz6qdn2sm5kkSIicOEHpayso7+zbRKCaUiy9EASOoRmvT3uk2LSafYeNdrcvK
q+1QfKZ7e8VUFKd4XxXEkUum2NSL6socdWJHeCmIulPnXlWQq0JsYhmBKes+jcNtofxwU8CwEj55
t0PbRohSB3ODfeG29nO3h5sWEBdY9lO44/TbyVc4XFV4gohY9dzNqNDaMe/A3RP54tUMBv2T62dm
yZt1oo+FA9UIz+Mgx2w+vC7v/92w/m7DKhAn/a0S+mnD+vE17WT9XBdp9NYbySxp+dG/9q3OB5Nf
owb/c2tKNfpj2+qoD+ynkLmwdyXrRPI7P3atyvyA73GZOzE1Mt7w3RWicMZIJoNaJldUr/8ZX8Z9
v6lzbfrr8JH4Oy1UqK/q8L/tW7tIJnlNsCyjHJvEL5flA20sr9pdmKNDYbNjdOs8iJ0LpBjyYWWU
kxRkMZrv09ABjqY6wfg0Uo9WE063hSXzj31j+V8YII23QLuHktj62dwDjqCdxejDvOKlhKQjyYtx
PYzEpcCoGil9QtzS6oT6LDwnokDFmDKyO3ZzlVbgzKMAkz00cQHA2ApHb+5joINZR5iXTaG4Tcgw
vAlFPN4moW/A36Rc2eiVpmCgYOpecQny2NNUyErRjw1hRMWE/4V2dsmQ3VeHLlPqOMyOOjDL13OA
h1X/RHakDbIq89tvHAVAQg27UKz9DoPVyiHKM+QvTqeNO5nqMPoI6uCit1DgQdegDtYZYm0oyrPv
ERd8b/rmsn8kA28j5sh/mS2Tl3cihuYRlAwvSZ9P9miUJqmCA3tqNyF4lQD08Gbo/Py+bJzipm2w
rFxhZQlMD5K8DqcntFm70iwV/hrnDGzIGe/UBZbVtKmQNDA9Fz5kD51QLMAp8WhDdJyJHQsc59ZP
0desUBjowgP1iy3PBfaztZ2M7DuwAmOZlTdw1txbk/lseAJaZe4bzt+2L4hHgyFb7eYwHE5h58rt
GPZZBiI9Lz4KUTkXDXUb2jlsaO5EbyQTbBlRPoh7v0jYc0PrPWr4Ng+wrIubpK567eNsZNPGsmNx
NGA5QMJMOgPFiMQNM2sZMOgOUyJAmOqPAVXFU90V8rHUJ4O8KgTZxIIHrGlCy5xN3YYtrqdhci9j
SSzbhFbkI8qJAML6TBiMO9Yon01638jKm6UU10zptaE2PIPvdNYw1N1TWSo72HaTzvxgjHNSAW3W
NzI9yTzZRX6nnaS/pNEN0s42Sh8dmKuNcrHbhWZiQl0cyu7OxjKdnELmALelowm1EuiVP+ViMq7D
Bq4K+KMUkD2YyBg9/trC/aV2AYWk66+0OB7KaaVxIur9ZNJjeqoY7NEMdQcARqWlfK4PReqKhImu
GjaO7TjbgG6L7PY++ur22Fplpx/SqpqiR1k2LmB3/rOA+qX+GfiS9pHsVYTbiX9tZ1l/FfVt8xhW
2dl3VXCC3QlnIWaGB/RDqqwwtGOQ6TYGTpnqn0ylR9toXoBCczsDYiWOWrf4ZavgEGIvGx6iVoIF
dsPiuonDatOgrIg7EZI7v6gH7VgKmJTcQw+WRQW95/HWYAcrf1fUNRtZQtOzcq07gqItZjm2Eqok
lENN8IJNUzKe0SP81X0nO29qx6VA1uMDLj54wW5+V8zOqY0byCe0M9auU4zHIYKpZ5NIszGA5iCF
xQaiGdoLoPpNlfr1GmvWbnRY7KdIihV+D/uM3fdjOzfM/YJhB0TLfBB1Dba760A3TV1xMzj6HQZ0
iVEFgabWMPOhFgtWfQrczSmtYOvnzbqJzfxKz8vmWzzZZ32W/hPb5GE/DlX6MbeQXMV90azpbZMK
g/3tFue3IvdOIwmcFM2dYc3nqHKo5wy9XYdgXbYAPsj61PgpgUoV21ldlB6xm08FnMYFlnozl/V1
O1BelzJEQ6+Kelf5eb2NLU2/rmt/uLEaUI9RU/zh8rbdQdtzNpE/+duCfI117ptQUzDk7dkwROu0
7wHZZJG4gmVH6LsdfCki2XiBQI+X2FPuwVIB30d60CNju2GvZ0H7CRVyy40xaDts1t+72kp3UxhP
Gwptcd8L6X+BI61R1PuhcbBiI6N3hvbtwD56SPYqM8yrvIrKretiB12VAbbUskuMo4PDeT1qmn3p
SCjdRTNLU5xRNrZEd3FXWLMNvrIiWalP5ijeOFXUEllU+Q9uZfLImpmPuxLANHhVtsUFzHE4xVHy
uYRZvRUdEk8/ks42a1p3V+AIfCoHX39060DbtD0+u4KQjzMVWHE1VUQYZypzLorfuG6sUaO7GTzY
QZXpa+FCdiF5wjrXDI/w7I5tIo7mGAcnN8kcF+W2Wa3TNiIGhaC/As6/Fc2eMRBzZDKGW/dSqLNi
9rqas3Cs4YLSWgRF6ezs0k5gH7JZqcugW1Vapz20JVsP7jjCrqJuKK90+GaWHxcXLCj6WcVJ7jlM
Na0u5TYwhq0+ymY9LlYiSXm56htDO9QQHr8pvF3fuqxeqEMqm9d96w8Ywg1rOuboREgBmyrTIwZT
fCqAuN2FboJR1+mCTelWDhHE8ovmdt+jKA8+W9JijDXl+roxzE9EJGrXPFPJGkbY0tbiPTdPlf8p
qI0dsv8vvtV9dZhu77CTt9TqhFKqaPpMLqFLnGEhPdsGjAbuaNUr/UDCc0KbSJbfAsyRqyTWCk86
Kt73EqMYXOnJwDbji9u0sepN0gzJJRfWOQ/YaiE87zYZtk+QuNBpWjJX64FetMjmczC1/qbMSOeM
w3vMMZRS1BdohAlLVD3MAYjH3pLUXpGcxcsVu+9SzMAFbtEaEm2vqQ2tGkAtSXKvSQtXF+O7L6Ek
vgTmjP2tFvVd14vvjPAhpMDodzX7KU/xklQmgcdjottHd/JnRAKdAVaBSXiAQm12u+OQJz7vzrLc
9Ez9PSfooR2MU3YgjudgghCjoSQ+RcOUEDmAGyUntnkLwAgBbLwkPujxjjZKeSza8aMxhw0ZxWGO
326RMcTzS0v9uW5VV3zETNLDiH+NX83UhMoXi7OJOWk15U22xZScrWrN+eoH8jMIGf9Jr0x1owC/
rzPHvFSi5b4yv2YyI1Zl7rB/4aK/wiBeXHWV/GZnw5q64AUtPhRSrOXlGg/7sHdKn9aNURqbqAIZ
3xPOu6Nise8ERDMvTId4q1M93sjc9tlLFceaiw5sYheFhC1M5LqAf+cWxVfmTeEI+07E4qzK+NNI
jw2vX9jtyiEyCeIivOeuC7tiTTLGysbybFroZgyW9JNWNZbXWPNDy/hiKTYhsd4UdhuQd+2iPSxA
EQd7bF3pKtT0G39obuYUqF3YNuu6IVelzL7g1iMwtxnvh6a7LUV705IOQrVG8I81M+Ft/XGNcTqh
BuwCCB485ibNwZ6BZWQiNCEL6pTHjnOysipfh1a9kpNNSxjx9Xwr6zz5U1z8343f7zZ+uEQYLf7f
k8rHZwpdXgpF/nZY+fpjPzZ9sEE/oACHXPMj5pKe+I9dH46DD7aylFxEbP/a8Rku2FC8CMjNTOud
FNFkA2kyGAEzymSRzeV/Mqd8O/ygN4LHmBw57MQCRzEz0bfN+rmYq05rOuuS9Skv85zK6QJQikKZ
CqT58rcT89tx5evBEMIvri3XwGTx3jEQmKNBlHVLSog2lU+5Ucj7ibDCB3ThNYZT8HtPAcygZ7eP
69+MJd6OXn4cmu0sesslGvS9RjDSEgGCWRiX2WWGl1M0uOifBntElGEJVAUjEORGr0nUxZxLRfHr
b/52crYc3pYGox/0+aSxMRl4e5qRDgU57Tl1STMticAE9i04dJDs5TEqlsONtEB/M9eSi0rw34OY
HwflVjGEjakKdtLbg+ZlDlK+dOXFlLm8zxVbWZkRsbtlDu4+lC3zJSNSHLwjtbfZheRyvVglpVKq
WZyHis7jrrSDeNw3FBP+Zp5n4xl1JJBL3+x1cdWX/iS8aF6q0YYQjtAbUzIufjMFfCuG/PNrWEsk
Hi0Rgbnh3XzOGRzVjXYoLwwHuFc6XFtjCkJp6yAxuccOXFyNCZu8X1+xt5rWH0fF3kK7cLHau++u
GJWwHY9mLS6x6MV9rjGmq+w8/K7HAEomMY93aIrE2bSZ967IYfnPprqvx1eCgaRtQQKgmfju4vWk
nYCgGcXFQi18Fy0PDPrL8TboK3H+9Vd9Zxv5cSwGrVQqHPAnS5w/2W2u6524GAy07xggIErrI8Ek
xleqeRkTw3judWt5OnX286U98LBosY0zIwHQ8utP8/MbieEoLlI8LDbK5fd3rQRl4la6z+iBLmq1
NmxaEifZZnq/wsPxu+HvPz0kixSE55L/2uZ7a5koYz3SVC8vddM6Xj6F6bw2UBpedbZeXGV1bFA7
NcUVCDzucjedxTmD57ssyeyyV0u6xZVm9eNdUJlLoqwu2V4yyiBRD29AGPb0k/Mp5ikzseoPR5ek
1HT761P26uZ996TbkuvHGNukhnodyf6taxengd85kysuvh8DuJztut6/3jdjm5VPdY3rM3UG3nsT
JzCDWrMJSBCn1Jjcao9FLUFGmRhMLedhTmuw8Hrz4tT6ePfrz/kPb0GbCtFh8s2HNd83F7VRdr3l
G+JCJ4kT8nqaRVmXTwJt9X2FJOQ3d/aygr55BVp0RhcvNCIhk47A+yNmbSBjBIjNZShVcWW2mfns
u+PyP4ppXacvse7Kaiz2dL4PX6sHKLwaaBF9jAgLKFcqn9oXVTA0iXXeALrGQwAZlRfnck+8nqKG
VQPUTYRHpeltdn1oKE6aRhcLKTTgYHoBv/F58Q3efy2+CdeZ2YohaRa/9yrOsF3BE03BpeAuQRE7
zbUXk1h2Q7bd1AL9CWlBxXYft540GWysox4w/9YNAyIlMTkqnfx0BJQylsQpZa297ZHatnvEBxAs
cwH4Fg2r6c+ermaXsWY4aJ9KjX27p9sF5M4hYESyNgjnIP9a6jwZwKhQd2YhcKskTimUnTK/dHkb
XjlNBoY5c4oz6Tnw852ixv6GyV/7LCY7uRHFlH7V6a558KtrEBIT+QR8vj58mbDfWMd2CnMvalm/
jzDbsekSGgqMSA9RgY+hi3vCKIByEaYCY7W3ba18gIYdD57ybRvQdoU+E38CgRK17AnjycygJnLQ
cgkDYD7n/IHfqHbWpPa1yX5mPyxXFbTJ+iDpkGlEvwiDALCODPmy9486mgcaZL3o1rbRB/VFG5gA
4OhscxO9uEwIRgqDsryFEZiSsAM63feceHAfAnqioIe4R2wK+4A8i8ndVPiNgg2lgbuxRUtHPStM
87lxDcqE3OFtQwnIi7gnVOqOQER+bLIh0HokkOBQa3ySL4lSTO0FFZZ0rMwiFM4CEe10uzyqAGjE
NXqL6sRg3xHbYCqyEFtqNDoH5vrhmYCP9itSAatYBcwodwB1aw/2SkBbwqi3NdSFosL3Pej6/Bk8
M/yQ3hk9IDXyj6ktirUZVURvuNLfylkVXzK3MT8XCoAZvebwhRtl/BZ0fsx+HTmGp3dcHvQFbb6r
g5IwTGH3a26s1zk3Fr/RYfquoRgu2hejQmCKsDso7zUTMSx52w5xIkcAxtgLbJBfussNABfF9jI7
c+hstxOGCqTbsCR9yT8FE2iMeolBPky4osE8MV5wEuGWn7WwJ7I5c5OY+IepmjIEpvpS/MzmeFck
CWc6X8AlOmm0ire9ZjxDoEMK1qRLAzYj4/XTqDVcsclvWRSYjKKMtl3eK27BuyKauCtXhGuwmBpk
WNOQFnb55NYNV9ZiWJyuwJxpa12vHW+AdEZCaNBw6RN6SgC2g0tnOzPovMkynn1zoHcc6dSrLdFe
t+gioFb4s/swoIp6aealSdZZvHgM3kO2kYGhrKFvrCqeUGedZYq/nr7MIlFQZnFFWec/dLQXvWQi
FivJE3lfYfnnDxWpe2rbnvczrzMfrTNZf4EnRMu/CeimIYmPKHzgM/AvmE0i/XNMTk4tWanJlwL9
inRCxGeo5bxiXJNPRcPLPbkLLVaaFov6n2Po5R1JDeecfJQHSyxjTYPaaV6WfNsOPYsh7pum4/++
ftqs67CdMk5FbUfZidTejKbb6rUWSVLLwBeB+QXwTS/O3cwV6Q0qw0m+thNnwgUloetdxHZDpTEU
MR/ZXtii//empXqcJOcenS9fikeSIyWo/1+igpsBC2fzgqIONGMQU33qSW8+IxlzN7i8mpcyZbWt
3KB6ihNmRusxaqa710JhRmSNfD9OrWc5Ut8v5LIn0IlwX6QTvxjkJHEuKIcORaXpZz3kkbYKXz83
EB+LE7cR104unxawEQsPmUr7hpnRnR7rFOEFExdQOEn5BKGc1XxKGF9tfOlSpTcz07W+AN5yqJqa
T97zM/2iFIDRWWl1TrrJUuB0S6my4ABf/tz8ACjlpMUushcs6PhbDC2p4pVdQo+8HoisPYWZSZam
jVhtx7LDB0RrQhiCo+VDTFtM+H8wsePg+esjJFBOjdt+rJcyiJWn9erh4hhD80IaL9eo9B2KO37p
BoIFmBYg7zaiJBTtuwxNBfhObkxLHSyu9Jkpm33g6xRXqtesu2jqJkYhYcqn7Tuwo8PAitsut6dJ
v+ysY7kgZR5MUb2JAfHdGg5SkOtyCDQUXyGgG9ToOXctejVHbdBX8mF8kxu4NRLOWSsc9wFPm30f
J2i6Nm2lRzslXe6RNEQvFWYD55SRGN//9SUAsmG8m6Kcs0Koknsilk8d8ELxwFnL4bOhddYMdSjH
WlE+xQL5mRtwVSn3q33lK64qrXPHS1nIOQ8DV8jNI/9BC6GLjiRNPNcOkIgEWkW2kdGsWR75qO6p
rhs+yeudyFhKNFdDxCvAFNToG1GnvHywigXNrTv6Et5fsVyguAKjs5WFX+2zWriMZWbgtC3b0Ya+
KA6YFemD1EByCLKPkx6bz+SXiXupOewB3JhtiMFM5H5QNSdZyWUaynveRb4VueWTFZQ86JUYxtvX
b8hKRI3cWLyB6gLlyOuGdx608mkWio4/Ur37iFe3vhrY0t6j4xL3+KK4LO1Spc3OwHV6rRhfl81p
1rmjylRTB+WEfPcZQ8gpl2jNoNWi2eo6djLLWUNGMbpInUQ60+3j44QW3yKJfOO57Ij5gPyEpDRN
ch6reVK+Z6tZbbsmZQplAtl7wRzOwyVhnkD6aWoTKwa3PKggckbuwsi3FLEjdrWfIjPNNibWYvNu
rIlMXOeDkcxrrdbNZ4QZ3DX8afchH3W2rYBfDwlznGKDSXNIj1lv8dMoJ2X1EfUOmMjURyFH4Cqv
MuZTy7tvlPiTikDwkqcUCZYtudGyX0GDVly9noA/30XLxr2PJe+F5cVaBzYrzuu9S0gBy9rYEk8w
2tH0B1NB//J6f5K05O+YwnU7GsdGcm13DreIo8O2MsykP4bBVDs/bohsyJzvpd0TuJTVfb3XYvL7
0qk0nwOLXsrrXWGNCQ8FlGVxthj67kRFiAbUC05C0mhRsbYQrMNKMlH4ruGAaWu7kjQhIEZE8ypa
vpA2ZNx9MCRgqBkMJHcThVDtsfcUZ2HwFbjlxD2CwmLwFl6ms7b9/2Xv3HrbVLY4/lWqvmOZOzy0
0mnuTZNGO2l79n6xqE0Bm5u52MCnP78BOzV2muxdrKPo6PAQKbEzDIs1a9asy/+/ZIcxqaI4T1KU
ppwnWHs1kD9TrNpAetCg1GNJhlWqWGO0WwuoLYpFdEpuDGEXE0ls31Di0O1krlk2YgMC59hT6/VJ
uiowComXwVKylCwbc0X9OmAeJe3fZ+qy5r5eWld/RLWWwRPMUe2rXdU4frrHc5f1ykK7Fa2AR13L
KvlDhi/U3K9kK6guC9ogQeqFqS+5ijGjt9l4xSx0C3x4dn64DE/H8qTJHgq9xAnxpIUN2WcKGCt8
KDyvaa/vyP+b96VVRZ8VVZ/60gSsUXueX+rhcgyqMJZ9vfDmPzw1B8FagFGpBkdq+kJVFnDF9jgP
UnakOoDjsyDkaeOh1MZXqG+Qc5DyQhN93VQXUjlXz8G5J9vnLQn5+/BBXAVpOr9RtVyWoYvUQYlX
leoyllPKkMM0jW8mCVW/dhXiLxgKqDukp9GwLFcK66yq8mL8EXyx0P84hwe+OaEiC5+q1EA7U8I4
vJIShSgMUbaSEoDJWrr35gqvJ4tSfi5B5m0o7WqqOyKAgAmqJN4o3cQuLVf4OJFw6SDjqv5YeCRQ
KJGTTkiNs2bEQXkRYmXXqs1Stf0lNbTjjOlNYBj4Cu8Y/gG9tsy0ajeTiY/dbki7L9wEH5PdxU7t
M3oXISSWoKKA+gQNag+G3hioMICh5hSPZQU2LTGgNgL1uMouTT+xPwW2p12tU1u+9Srd/ipLBSDA
TW2dGirVEJzBeK+CxAKS8TmbWxl5WKvGCJQH0Wt10tpNG+jfu4bWPvWsXsaC9FD4m+nEtj4BdxtE
lCsSvlrDmfLnIgSjIIH3BKA/llARojzBRCJTmOg0PgnLDGcuOxBnO/9S0f3A1VbGOL/W05IVV0hk
j/QFRR5S52FAX1ZK7MzRIra0K7h+x+YVBzZwWEGMKD9YZZldUFZYnoegwEONkhdUGC8a+cGyZEJ2
uo1VIs6DSMy5xLYBcSUnichgYzFWtfHgE7GGFI4ellSvWA+NJ8xB6zLrVNDAxw0Fux1H43NKiU3r
zKgL5Zw7+w9+VlZfgIVrPvmA6XxJS29BSzQt0GfU1RbNORtiCcKvEUGpU2updJeBvw4dZGPH1pma
0YeqAGo5LVNVn83tsnFDvMofSVjluNvr0PuAX6Vcy2BwwX+UJxchwZV/U/RlZNQET0IqCIDdo3Qg
oaRUV6vgFkxJ69SbG8G3KC28e7pnV9VJGdHYusj18QW1MPWtraYTSKUp9kuWNSPp8TjI8ZRj27tr
YokTawhCpHwCIlUGtY29MrqGnv9neF7K8ICNQMz5mQwPZ2IyPL30Tvc/2/TOWBsJ2ANitSQpZFlg
pm7TO7LMR8JPEdxvRLF/pnj0EQwIigpGn6kR5FUJ8mzRJsYjEIMA1oIxjm4RMkP/JMWz10VDgxbt
kJpq096kkVFSRYxsJzg4KWGUhBZ9fVtGMw/aHz/8viONJ9I6/QA9cbW9G+yFyrNKDaO04gbW3ODA
S1u/7QSr28DGMXkhKt+GvX9GOkUMz7Lo9WMLp7DsMIRYU3ge6qEm38z1EJ80/RBJCqAeNbgSymKp
/5XPK8+a+lRBFMQyUiWXmpOEk0wQfyTqtfSiGdEMy/To/9B8gEguJpknFmBcugGQIUH0qcxadgHC
3c1VCEoCrAPQ9dZQNUrJ5KFeFudzwVKQF3P5bg5qHgTv88kStiOSLFh+VZAcKCsDyNUP65UKayZe
4dJf3C9tKgkIOGkxUcJTJkH9eYAdoRS9VD5mchp8qclrXIeTJRUfFJiH63NI+EI1ujYLAHf0ilIf
S6aI7C9K9OF0kbwIwvZCyU7GAHOonzXJTBsYrm1ful9zONfiM3XlTWziLZRRF9VE0JsF+UX78v9n
rMbmQUS97gHJJGyVXS+a+PQuCeLiIfm9Lz0/UI+1cpoQ9RQcmDhtvZQxq3Nn3T1OqWXMfG4E2FPB
VZu5796q9kgnfGNiZ/BzuMA+DBManLqPJZusMjklA2znFpPM7m64I6JfCeH55zvk8zwcp/cEzgyD
ehrkRRZMi127SiZGAE31bHE71qEU9sb4KQVtDLY2KKSUSndPSWpvVwqWPeI25IDJynbXrsY/yv0J
VfhvSYEgmMKrGyoFyzbgIuk0gZa8vhRMc0R2kXpjc9wJoRP7a9IFQoh/c0X8UhcojxcQuBbUuZ0c
9qRAzT17Ih3abGLt1Yn9NUmBlDfuxCBdUOg5EA3pRgdFyPvu64KljDTowzWq316pFCieUPfbL37D
LmgyUqD+5FHje3ZBGfEJGWegA16nLiiyLOoQBukCVFqWqZkkiTfKwLrvSQGCYxXHRxTqtFd3w1e0
IlTSafiwg6Sggh4BnLNmwf7UXnt2gZ2S0zUA06IURlyvzjoqqiHqOIZJgVIy6sgos9isCDz7XV0w
2Snxti3Rq9Rer04XdLbwoUIwR6DHsVPKUM+Ja08VWHOwe9PMTh1VpwvtDV/RglBULPtAKWjKCLRA
RUPpOynsuY6mPuJoCxSovHGq/oEq/A1RPXriJ34QzlofPHDzHbL4F7+w9c0OB9h4nlezd2+Fi937
oggNdEO7LT29+P19z5toWR13Pmx/BxW/vc/m3zcPeHjr3r22T7X942XgZg5NvHX7Qb2Z5q0T4cn/
K3S+O5HTc41bd/7nTN697c1z5/2/MHC+2BtXVNQNHjejzK/f9wgPIWZ6+MALJ86dfDuSeI20R6Hv
Q0c+cUKYS7I46ImjsyiDx07CJHNmyXaWYtaUnbJoho8cx+60CKZl7+BEZwVb1NDBT93QWTt9VFVg
Uo8g7O1h703y4w0BlzL63hc71dFH0EIa37Ng1nufbPDCfx4qGfhbM68/ZUFBwflk6MiXSDwItuO0
6q3S/rv9w5PBy8dd/7mlfjVz/J4CypopY9aHTviKWoI4Cforsju3Dx46nkGw039/lO8d4f1dJeu9
Yan2HC6L60PbRGH7EdbLNaIsp4t6O8VWLzjKHmGRfEoA7TgQM4wHR9CNGyeI3d6ciXofYc43TlYf
MKrR+H6EV3jj5Lkz9cvcLYqeTtOBrR1DJMHUDzynH+rrDnJDl8tNwF6QJ0VPs2niEDQDw8fOYSTP
ydr2bJNCHe2RRk/KbH/oo0z81+zUjy7e7/lOt+73jPK7vrQVMK6GS/vWXTn9fYt4h8jUDH2NL4Kl
D5bJ+s1HN8vdnqXiRCIfYWmKyd+4VTDtbWMMfowdXQz+Z5IttjIWFnZzkhosdNqg/TdPYYFsTu3H
ucGps9hf+6ohGhiGDv/ZD/oS76Jvg4ddhHgk/VMNgT37CEb2c+Z6+9kUzqrDRXHnxrHg0nb2jgmb
EP1QkbzEFjpwdb4MSnOUGxwqosC8OcJ55AHpu3nu9lwKuoOUI1jGB7fqnyo3ccWhr/RL4fhbvRM2
BW4X5Qje/DOAuAPf4deAk82eeqs62bPtU/z+EeT53tiB8/7m5sWbJydPpOoIyvctyKcJgGI9z001
2m6boUry7dclJc9K5alI0/teSOpM/H8/dvbiF4iAiYGnoetk7/8DAAD//w==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Category Wise</cx:v>
        </cx:txData>
      </cx:tx>
      <cx:txPr>
        <a:bodyPr spcFirstLastPara="1" vertOverflow="ellipsis" horzOverflow="overflow" wrap="square" lIns="0" tIns="0" rIns="0" bIns="0" anchor="ctr" anchorCtr="1"/>
        <a:lstStyle/>
        <a:p>
          <a:pPr algn="ctr" rtl="0">
            <a:defRPr/>
          </a:pPr>
          <a:r>
            <a:rPr lang="en-US" sz="1800" b="1" i="0" u="none" strike="noStrike" baseline="0">
              <a:solidFill>
                <a:schemeClr val="tx1"/>
              </a:solidFill>
              <a:latin typeface="Aptos Narrow" panose="02110004020202020204"/>
            </a:rPr>
            <a:t>Category Wise</a:t>
          </a:r>
        </a:p>
      </cx:txPr>
    </cx:title>
    <cx:plotArea>
      <cx:plotAreaRegion>
        <cx:series layoutId="funnel" uniqueId="{56729B04-EB41-4E41-B661-ACB7443D62C5}">
          <cx:dataLabels>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10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99060</xdr:rowOff>
    </xdr:from>
    <xdr:to>
      <xdr:col>17</xdr:col>
      <xdr:colOff>99060</xdr:colOff>
      <xdr:row>29</xdr:row>
      <xdr:rowOff>53340</xdr:rowOff>
    </xdr:to>
    <xdr:sp macro="" textlink="">
      <xdr:nvSpPr>
        <xdr:cNvPr id="2" name="Rectangle: Rounded Corners 1">
          <a:extLst>
            <a:ext uri="{FF2B5EF4-FFF2-40B4-BE49-F238E27FC236}">
              <a16:creationId xmlns:a16="http://schemas.microsoft.com/office/drawing/2014/main" id="{90250B16-8C25-EFD0-F8A1-67ADEBE5B51D}"/>
            </a:ext>
          </a:extLst>
        </xdr:cNvPr>
        <xdr:cNvSpPr/>
      </xdr:nvSpPr>
      <xdr:spPr>
        <a:xfrm>
          <a:off x="121920" y="99060"/>
          <a:ext cx="10340340" cy="5257800"/>
        </a:xfrm>
        <a:prstGeom prst="roundRect">
          <a:avLst>
            <a:gd name="adj" fmla="val 402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251913</xdr:colOff>
      <xdr:row>1</xdr:row>
      <xdr:rowOff>38100</xdr:rowOff>
    </xdr:from>
    <xdr:to>
      <xdr:col>3</xdr:col>
      <xdr:colOff>37648</xdr:colOff>
      <xdr:row>5</xdr:row>
      <xdr:rowOff>106680</xdr:rowOff>
    </xdr:to>
    <xdr:sp macro="" textlink="">
      <xdr:nvSpPr>
        <xdr:cNvPr id="3" name="Rectangle: Rounded Corners 2">
          <a:extLst>
            <a:ext uri="{FF2B5EF4-FFF2-40B4-BE49-F238E27FC236}">
              <a16:creationId xmlns:a16="http://schemas.microsoft.com/office/drawing/2014/main" id="{1A4CB440-832E-AA3F-41D1-7384C4C844EE}"/>
            </a:ext>
          </a:extLst>
        </xdr:cNvPr>
        <xdr:cNvSpPr/>
      </xdr:nvSpPr>
      <xdr:spPr>
        <a:xfrm>
          <a:off x="251913" y="220980"/>
          <a:ext cx="1614535" cy="800100"/>
        </a:xfrm>
        <a:prstGeom prst="roundRect">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b="1" i="1">
              <a:solidFill>
                <a:schemeClr val="tx1"/>
              </a:solidFill>
              <a:latin typeface="Calibri" panose="020F0502020204030204" pitchFamily="34" charset="0"/>
              <a:ea typeface="Calibri" panose="020F0502020204030204" pitchFamily="34" charset="0"/>
              <a:cs typeface="Calibri" panose="020F0502020204030204" pitchFamily="34" charset="0"/>
            </a:rPr>
            <a:t>Unicorn Groups</a:t>
          </a:r>
        </a:p>
      </xdr:txBody>
    </xdr:sp>
    <xdr:clientData/>
  </xdr:twoCellAnchor>
  <xdr:twoCellAnchor>
    <xdr:from>
      <xdr:col>3</xdr:col>
      <xdr:colOff>205740</xdr:colOff>
      <xdr:row>1</xdr:row>
      <xdr:rowOff>53340</xdr:rowOff>
    </xdr:from>
    <xdr:to>
      <xdr:col>17</xdr:col>
      <xdr:colOff>7620</xdr:colOff>
      <xdr:row>5</xdr:row>
      <xdr:rowOff>121920</xdr:rowOff>
    </xdr:to>
    <xdr:sp macro="" textlink="">
      <xdr:nvSpPr>
        <xdr:cNvPr id="4" name="Rectangle: Rounded Corners 3">
          <a:extLst>
            <a:ext uri="{FF2B5EF4-FFF2-40B4-BE49-F238E27FC236}">
              <a16:creationId xmlns:a16="http://schemas.microsoft.com/office/drawing/2014/main" id="{F89F5FD9-26FC-4AF8-A0B0-7326B80192C7}"/>
            </a:ext>
          </a:extLst>
        </xdr:cNvPr>
        <xdr:cNvSpPr/>
      </xdr:nvSpPr>
      <xdr:spPr>
        <a:xfrm>
          <a:off x="2034540" y="236220"/>
          <a:ext cx="8336280" cy="800100"/>
        </a:xfrm>
        <a:prstGeom prst="roundRect">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217170</xdr:colOff>
      <xdr:row>5</xdr:row>
      <xdr:rowOff>144780</xdr:rowOff>
    </xdr:from>
    <xdr:to>
      <xdr:col>3</xdr:col>
      <xdr:colOff>68580</xdr:colOff>
      <xdr:row>28</xdr:row>
      <xdr:rowOff>175260</xdr:rowOff>
    </xdr:to>
    <xdr:sp macro="" textlink="">
      <xdr:nvSpPr>
        <xdr:cNvPr id="5" name="Rectangle: Rounded Corners 4">
          <a:extLst>
            <a:ext uri="{FF2B5EF4-FFF2-40B4-BE49-F238E27FC236}">
              <a16:creationId xmlns:a16="http://schemas.microsoft.com/office/drawing/2014/main" id="{ADD0E47C-A429-4586-82DE-3B48F79FF248}"/>
            </a:ext>
          </a:extLst>
        </xdr:cNvPr>
        <xdr:cNvSpPr/>
      </xdr:nvSpPr>
      <xdr:spPr>
        <a:xfrm rot="16200000">
          <a:off x="-1061085" y="2337435"/>
          <a:ext cx="4236720" cy="1680210"/>
        </a:xfrm>
        <a:prstGeom prst="roundRect">
          <a:avLst>
            <a:gd name="adj" fmla="val 8504"/>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5</xdr:row>
      <xdr:rowOff>152400</xdr:rowOff>
    </xdr:from>
    <xdr:to>
      <xdr:col>6</xdr:col>
      <xdr:colOff>30480</xdr:colOff>
      <xdr:row>10</xdr:row>
      <xdr:rowOff>38100</xdr:rowOff>
    </xdr:to>
    <xdr:sp macro="" textlink="">
      <xdr:nvSpPr>
        <xdr:cNvPr id="6" name="Rectangle: Rounded Corners 5">
          <a:extLst>
            <a:ext uri="{FF2B5EF4-FFF2-40B4-BE49-F238E27FC236}">
              <a16:creationId xmlns:a16="http://schemas.microsoft.com/office/drawing/2014/main" id="{C8492C3A-A9ED-4413-9A6A-648D8A8A1518}"/>
            </a:ext>
          </a:extLst>
        </xdr:cNvPr>
        <xdr:cNvSpPr/>
      </xdr:nvSpPr>
      <xdr:spPr>
        <a:xfrm>
          <a:off x="2057400" y="1066800"/>
          <a:ext cx="1630680" cy="800100"/>
        </a:xfrm>
        <a:prstGeom prst="roundRect">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243840</xdr:colOff>
      <xdr:row>5</xdr:row>
      <xdr:rowOff>160020</xdr:rowOff>
    </xdr:from>
    <xdr:to>
      <xdr:col>9</xdr:col>
      <xdr:colOff>45720</xdr:colOff>
      <xdr:row>10</xdr:row>
      <xdr:rowOff>45720</xdr:rowOff>
    </xdr:to>
    <xdr:sp macro="" textlink="">
      <xdr:nvSpPr>
        <xdr:cNvPr id="7" name="Rectangle: Rounded Corners 6">
          <a:extLst>
            <a:ext uri="{FF2B5EF4-FFF2-40B4-BE49-F238E27FC236}">
              <a16:creationId xmlns:a16="http://schemas.microsoft.com/office/drawing/2014/main" id="{F336A613-F853-47F3-93E3-43222542C12F}"/>
            </a:ext>
          </a:extLst>
        </xdr:cNvPr>
        <xdr:cNvSpPr/>
      </xdr:nvSpPr>
      <xdr:spPr>
        <a:xfrm>
          <a:off x="3901440" y="1074420"/>
          <a:ext cx="1630680" cy="800100"/>
        </a:xfrm>
        <a:prstGeom prst="roundRect">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10</xdr:row>
      <xdr:rowOff>76200</xdr:rowOff>
    </xdr:from>
    <xdr:to>
      <xdr:col>9</xdr:col>
      <xdr:colOff>83820</xdr:colOff>
      <xdr:row>24</xdr:row>
      <xdr:rowOff>30480</xdr:rowOff>
    </xdr:to>
    <xdr:sp macro="" textlink="">
      <xdr:nvSpPr>
        <xdr:cNvPr id="8" name="Rectangle: Rounded Corners 7">
          <a:extLst>
            <a:ext uri="{FF2B5EF4-FFF2-40B4-BE49-F238E27FC236}">
              <a16:creationId xmlns:a16="http://schemas.microsoft.com/office/drawing/2014/main" id="{C2A82C17-3F68-4075-9E52-C87295C0F79D}"/>
            </a:ext>
          </a:extLst>
        </xdr:cNvPr>
        <xdr:cNvSpPr/>
      </xdr:nvSpPr>
      <xdr:spPr>
        <a:xfrm>
          <a:off x="1988820" y="1905000"/>
          <a:ext cx="3581400" cy="2514600"/>
        </a:xfrm>
        <a:prstGeom prst="roundRect">
          <a:avLst>
            <a:gd name="adj" fmla="val 7879"/>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175260</xdr:colOff>
      <xdr:row>5</xdr:row>
      <xdr:rowOff>160020</xdr:rowOff>
    </xdr:from>
    <xdr:to>
      <xdr:col>13</xdr:col>
      <xdr:colOff>121920</xdr:colOff>
      <xdr:row>24</xdr:row>
      <xdr:rowOff>38100</xdr:rowOff>
    </xdr:to>
    <xdr:sp macro="" textlink="">
      <xdr:nvSpPr>
        <xdr:cNvPr id="9" name="Rectangle: Rounded Corners 8">
          <a:extLst>
            <a:ext uri="{FF2B5EF4-FFF2-40B4-BE49-F238E27FC236}">
              <a16:creationId xmlns:a16="http://schemas.microsoft.com/office/drawing/2014/main" id="{DCF7C061-5CFB-403A-A1BA-4142BBFEBB69}"/>
            </a:ext>
          </a:extLst>
        </xdr:cNvPr>
        <xdr:cNvSpPr/>
      </xdr:nvSpPr>
      <xdr:spPr>
        <a:xfrm rot="16200000">
          <a:off x="5177790" y="1558290"/>
          <a:ext cx="3352800" cy="2385060"/>
        </a:xfrm>
        <a:prstGeom prst="roundRect">
          <a:avLst>
            <a:gd name="adj" fmla="val 7879"/>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198120</xdr:colOff>
      <xdr:row>5</xdr:row>
      <xdr:rowOff>160020</xdr:rowOff>
    </xdr:from>
    <xdr:to>
      <xdr:col>17</xdr:col>
      <xdr:colOff>30480</xdr:colOff>
      <xdr:row>14</xdr:row>
      <xdr:rowOff>167640</xdr:rowOff>
    </xdr:to>
    <xdr:sp macro="" textlink="">
      <xdr:nvSpPr>
        <xdr:cNvPr id="10" name="Rectangle: Rounded Corners 9">
          <a:extLst>
            <a:ext uri="{FF2B5EF4-FFF2-40B4-BE49-F238E27FC236}">
              <a16:creationId xmlns:a16="http://schemas.microsoft.com/office/drawing/2014/main" id="{C3627F65-44D3-41F8-A81F-8731D07E4131}"/>
            </a:ext>
          </a:extLst>
        </xdr:cNvPr>
        <xdr:cNvSpPr/>
      </xdr:nvSpPr>
      <xdr:spPr>
        <a:xfrm>
          <a:off x="8122920" y="1074420"/>
          <a:ext cx="2270760" cy="1653540"/>
        </a:xfrm>
        <a:prstGeom prst="roundRect">
          <a:avLst>
            <a:gd name="adj" fmla="val 4510"/>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182880</xdr:colOff>
      <xdr:row>15</xdr:row>
      <xdr:rowOff>22860</xdr:rowOff>
    </xdr:from>
    <xdr:to>
      <xdr:col>17</xdr:col>
      <xdr:colOff>15240</xdr:colOff>
      <xdr:row>23</xdr:row>
      <xdr:rowOff>167640</xdr:rowOff>
    </xdr:to>
    <xdr:sp macro="" textlink="">
      <xdr:nvSpPr>
        <xdr:cNvPr id="11" name="Rectangle: Rounded Corners 10">
          <a:extLst>
            <a:ext uri="{FF2B5EF4-FFF2-40B4-BE49-F238E27FC236}">
              <a16:creationId xmlns:a16="http://schemas.microsoft.com/office/drawing/2014/main" id="{01DB9EF9-2BD9-4008-AEF3-D918BD14B623}"/>
            </a:ext>
          </a:extLst>
        </xdr:cNvPr>
        <xdr:cNvSpPr/>
      </xdr:nvSpPr>
      <xdr:spPr>
        <a:xfrm rot="10800000">
          <a:off x="8107680" y="2766060"/>
          <a:ext cx="2270760" cy="1607820"/>
        </a:xfrm>
        <a:prstGeom prst="roundRect">
          <a:avLst>
            <a:gd name="adj" fmla="val 4510"/>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123824</xdr:colOff>
      <xdr:row>24</xdr:row>
      <xdr:rowOff>68579</xdr:rowOff>
    </xdr:from>
    <xdr:to>
      <xdr:col>9</xdr:col>
      <xdr:colOff>160019</xdr:colOff>
      <xdr:row>28</xdr:row>
      <xdr:rowOff>177162</xdr:rowOff>
    </xdr:to>
    <xdr:sp macro="" textlink="">
      <xdr:nvSpPr>
        <xdr:cNvPr id="12" name="Rectangle: Rounded Corners 11">
          <a:extLst>
            <a:ext uri="{FF2B5EF4-FFF2-40B4-BE49-F238E27FC236}">
              <a16:creationId xmlns:a16="http://schemas.microsoft.com/office/drawing/2014/main" id="{5688628E-AAC6-4085-B2B6-4069B168B9D7}"/>
            </a:ext>
          </a:extLst>
        </xdr:cNvPr>
        <xdr:cNvSpPr/>
      </xdr:nvSpPr>
      <xdr:spPr>
        <a:xfrm rot="10800000">
          <a:off x="1952624" y="4457699"/>
          <a:ext cx="3693795" cy="840103"/>
        </a:xfrm>
        <a:prstGeom prst="roundRect">
          <a:avLst>
            <a:gd name="adj" fmla="val 8504"/>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243838</xdr:colOff>
      <xdr:row>24</xdr:row>
      <xdr:rowOff>60960</xdr:rowOff>
    </xdr:from>
    <xdr:to>
      <xdr:col>16</xdr:col>
      <xdr:colOff>601977</xdr:colOff>
      <xdr:row>28</xdr:row>
      <xdr:rowOff>154302</xdr:rowOff>
    </xdr:to>
    <xdr:sp macro="" textlink="">
      <xdr:nvSpPr>
        <xdr:cNvPr id="13" name="Rectangle: Rounded Corners 12">
          <a:extLst>
            <a:ext uri="{FF2B5EF4-FFF2-40B4-BE49-F238E27FC236}">
              <a16:creationId xmlns:a16="http://schemas.microsoft.com/office/drawing/2014/main" id="{8AD3DE5D-6D47-4394-9F92-D01353451A62}"/>
            </a:ext>
          </a:extLst>
        </xdr:cNvPr>
        <xdr:cNvSpPr/>
      </xdr:nvSpPr>
      <xdr:spPr>
        <a:xfrm rot="10800000">
          <a:off x="5730238" y="4450080"/>
          <a:ext cx="4625339" cy="824862"/>
        </a:xfrm>
        <a:prstGeom prst="roundRect">
          <a:avLst>
            <a:gd name="adj" fmla="val 8504"/>
          </a:avLst>
        </a:prstGeom>
        <a:gradFill flip="none" rotWithShape="1">
          <a:gsLst>
            <a:gs pos="0">
              <a:schemeClr val="accent1">
                <a:lumMod val="45000"/>
                <a:lumOff val="55000"/>
              </a:schemeClr>
            </a:gs>
            <a:gs pos="100000">
              <a:schemeClr val="accent1">
                <a:lumMod val="5000"/>
                <a:lumOff val="95000"/>
              </a:schemeClr>
            </a:gs>
            <a:gs pos="10000">
              <a:schemeClr val="accent1">
                <a:lumMod val="45000"/>
                <a:lumOff val="55000"/>
              </a:schemeClr>
            </a:gs>
            <a:gs pos="95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53340</xdr:colOff>
      <xdr:row>1</xdr:row>
      <xdr:rowOff>38100</xdr:rowOff>
    </xdr:from>
    <xdr:to>
      <xdr:col>2</xdr:col>
      <xdr:colOff>121920</xdr:colOff>
      <xdr:row>4</xdr:row>
      <xdr:rowOff>68580</xdr:rowOff>
    </xdr:to>
    <xdr:pic>
      <xdr:nvPicPr>
        <xdr:cNvPr id="21" name="Graphic 20" descr="Unicorn with solid fill">
          <a:extLst>
            <a:ext uri="{FF2B5EF4-FFF2-40B4-BE49-F238E27FC236}">
              <a16:creationId xmlns:a16="http://schemas.microsoft.com/office/drawing/2014/main" id="{BABAC330-954F-B2E9-D2BE-80BA633E99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2940" y="220980"/>
          <a:ext cx="678180" cy="579120"/>
        </a:xfrm>
        <a:prstGeom prst="rect">
          <a:avLst/>
        </a:prstGeom>
      </xdr:spPr>
    </xdr:pic>
    <xdr:clientData/>
  </xdr:twoCellAnchor>
  <xdr:twoCellAnchor editAs="oneCell">
    <xdr:from>
      <xdr:col>3</xdr:col>
      <xdr:colOff>307102</xdr:colOff>
      <xdr:row>1</xdr:row>
      <xdr:rowOff>147082</xdr:rowOff>
    </xdr:from>
    <xdr:to>
      <xdr:col>4</xdr:col>
      <xdr:colOff>302498</xdr:colOff>
      <xdr:row>5</xdr:row>
      <xdr:rowOff>20558</xdr:rowOff>
    </xdr:to>
    <xdr:pic>
      <xdr:nvPicPr>
        <xdr:cNvPr id="23" name="Graphic 22" descr="Bar graph with upward trend with solid fill">
          <a:extLst>
            <a:ext uri="{FF2B5EF4-FFF2-40B4-BE49-F238E27FC236}">
              <a16:creationId xmlns:a16="http://schemas.microsoft.com/office/drawing/2014/main" id="{FB6ED670-C364-3E8D-8027-34F20DFE26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5902" y="329962"/>
          <a:ext cx="604996" cy="604996"/>
        </a:xfrm>
        <a:prstGeom prst="rect">
          <a:avLst/>
        </a:prstGeom>
      </xdr:spPr>
    </xdr:pic>
    <xdr:clientData/>
  </xdr:twoCellAnchor>
  <xdr:twoCellAnchor>
    <xdr:from>
      <xdr:col>4</xdr:col>
      <xdr:colOff>312420</xdr:colOff>
      <xdr:row>2</xdr:row>
      <xdr:rowOff>38100</xdr:rowOff>
    </xdr:from>
    <xdr:to>
      <xdr:col>13</xdr:col>
      <xdr:colOff>259080</xdr:colOff>
      <xdr:row>5</xdr:row>
      <xdr:rowOff>60960</xdr:rowOff>
    </xdr:to>
    <xdr:sp macro="" textlink="">
      <xdr:nvSpPr>
        <xdr:cNvPr id="24" name="TextBox 23">
          <a:extLst>
            <a:ext uri="{FF2B5EF4-FFF2-40B4-BE49-F238E27FC236}">
              <a16:creationId xmlns:a16="http://schemas.microsoft.com/office/drawing/2014/main" id="{315808E4-F296-8751-93B1-5BBDB36A9E27}"/>
            </a:ext>
          </a:extLst>
        </xdr:cNvPr>
        <xdr:cNvSpPr txBox="1"/>
      </xdr:nvSpPr>
      <xdr:spPr>
        <a:xfrm>
          <a:off x="2750820" y="403860"/>
          <a:ext cx="5433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b="1">
              <a:latin typeface="Calibri" panose="020F0502020204030204" pitchFamily="34" charset="0"/>
              <a:ea typeface="Calibri" panose="020F0502020204030204" pitchFamily="34" charset="0"/>
              <a:cs typeface="Calibri" panose="020F0502020204030204" pitchFamily="34" charset="0"/>
            </a:rPr>
            <a:t>Profit</a:t>
          </a:r>
          <a:r>
            <a:rPr lang="en-IN" sz="3200" b="1" baseline="0">
              <a:latin typeface="Calibri" panose="020F0502020204030204" pitchFamily="34" charset="0"/>
              <a:ea typeface="Calibri" panose="020F0502020204030204" pitchFamily="34" charset="0"/>
              <a:cs typeface="Calibri" panose="020F0502020204030204" pitchFamily="34" charset="0"/>
            </a:rPr>
            <a:t> And Sales DashBoard</a:t>
          </a:r>
          <a:endParaRPr lang="en-IN"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266700</xdr:colOff>
      <xdr:row>6</xdr:row>
      <xdr:rowOff>7620</xdr:rowOff>
    </xdr:from>
    <xdr:to>
      <xdr:col>7</xdr:col>
      <xdr:colOff>213360</xdr:colOff>
      <xdr:row>10</xdr:row>
      <xdr:rowOff>0</xdr:rowOff>
    </xdr:to>
    <xdr:pic>
      <xdr:nvPicPr>
        <xdr:cNvPr id="26" name="Graphic 25" descr="Coins with solid fill">
          <a:extLst>
            <a:ext uri="{FF2B5EF4-FFF2-40B4-BE49-F238E27FC236}">
              <a16:creationId xmlns:a16="http://schemas.microsoft.com/office/drawing/2014/main" id="{5D14D5EA-A38B-377F-02D2-4DBB1CDDC5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24300" y="1104900"/>
          <a:ext cx="556260" cy="723900"/>
        </a:xfrm>
        <a:prstGeom prst="rect">
          <a:avLst/>
        </a:prstGeom>
      </xdr:spPr>
    </xdr:pic>
    <xdr:clientData/>
  </xdr:twoCellAnchor>
  <xdr:twoCellAnchor editAs="oneCell">
    <xdr:from>
      <xdr:col>3</xdr:col>
      <xdr:colOff>236220</xdr:colOff>
      <xdr:row>6</xdr:row>
      <xdr:rowOff>38101</xdr:rowOff>
    </xdr:from>
    <xdr:to>
      <xdr:col>4</xdr:col>
      <xdr:colOff>182880</xdr:colOff>
      <xdr:row>9</xdr:row>
      <xdr:rowOff>76201</xdr:rowOff>
    </xdr:to>
    <xdr:pic>
      <xdr:nvPicPr>
        <xdr:cNvPr id="28" name="Graphic 27" descr="Database with solid fill">
          <a:extLst>
            <a:ext uri="{FF2B5EF4-FFF2-40B4-BE49-F238E27FC236}">
              <a16:creationId xmlns:a16="http://schemas.microsoft.com/office/drawing/2014/main" id="{20B07909-37FB-C1F3-EC13-053112EBEC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65020" y="1135381"/>
          <a:ext cx="556260" cy="586740"/>
        </a:xfrm>
        <a:prstGeom prst="rect">
          <a:avLst/>
        </a:prstGeom>
      </xdr:spPr>
    </xdr:pic>
    <xdr:clientData/>
  </xdr:twoCellAnchor>
  <xdr:twoCellAnchor>
    <xdr:from>
      <xdr:col>4</xdr:col>
      <xdr:colOff>99060</xdr:colOff>
      <xdr:row>6</xdr:row>
      <xdr:rowOff>30480</xdr:rowOff>
    </xdr:from>
    <xdr:to>
      <xdr:col>6</xdr:col>
      <xdr:colOff>152400</xdr:colOff>
      <xdr:row>7</xdr:row>
      <xdr:rowOff>152400</xdr:rowOff>
    </xdr:to>
    <xdr:sp macro="" textlink="">
      <xdr:nvSpPr>
        <xdr:cNvPr id="29" name="TextBox 28">
          <a:extLst>
            <a:ext uri="{FF2B5EF4-FFF2-40B4-BE49-F238E27FC236}">
              <a16:creationId xmlns:a16="http://schemas.microsoft.com/office/drawing/2014/main" id="{CCFA3D7F-27AB-96AD-DD4F-3E57DCCA0C7B}"/>
            </a:ext>
          </a:extLst>
        </xdr:cNvPr>
        <xdr:cNvSpPr txBox="1"/>
      </xdr:nvSpPr>
      <xdr:spPr>
        <a:xfrm>
          <a:off x="2537460" y="1127760"/>
          <a:ext cx="1272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Quantiy</a:t>
          </a:r>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243840</xdr:colOff>
      <xdr:row>6</xdr:row>
      <xdr:rowOff>99060</xdr:rowOff>
    </xdr:from>
    <xdr:to>
      <xdr:col>9</xdr:col>
      <xdr:colOff>7620</xdr:colOff>
      <xdr:row>7</xdr:row>
      <xdr:rowOff>144780</xdr:rowOff>
    </xdr:to>
    <xdr:sp macro="" textlink="">
      <xdr:nvSpPr>
        <xdr:cNvPr id="38" name="TextBox 37">
          <a:extLst>
            <a:ext uri="{FF2B5EF4-FFF2-40B4-BE49-F238E27FC236}">
              <a16:creationId xmlns:a16="http://schemas.microsoft.com/office/drawing/2014/main" id="{F3EAE086-BA12-033E-0D0B-BAB33D69CD35}"/>
            </a:ext>
          </a:extLst>
        </xdr:cNvPr>
        <xdr:cNvSpPr txBox="1"/>
      </xdr:nvSpPr>
      <xdr:spPr>
        <a:xfrm>
          <a:off x="4511040" y="1196340"/>
          <a:ext cx="9829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Sales</a:t>
          </a:r>
          <a:endParaRPr lang="en-IN" sz="1100" b="1"/>
        </a:p>
      </xdr:txBody>
    </xdr:sp>
    <xdr:clientData/>
  </xdr:twoCellAnchor>
  <xdr:twoCellAnchor>
    <xdr:from>
      <xdr:col>4</xdr:col>
      <xdr:colOff>91440</xdr:colOff>
      <xdr:row>7</xdr:row>
      <xdr:rowOff>129540</xdr:rowOff>
    </xdr:from>
    <xdr:to>
      <xdr:col>5</xdr:col>
      <xdr:colOff>480060</xdr:colOff>
      <xdr:row>9</xdr:row>
      <xdr:rowOff>30480</xdr:rowOff>
    </xdr:to>
    <xdr:sp macro="" textlink="'Pivot Table'!A15">
      <xdr:nvSpPr>
        <xdr:cNvPr id="41" name="TextBox 40">
          <a:extLst>
            <a:ext uri="{FF2B5EF4-FFF2-40B4-BE49-F238E27FC236}">
              <a16:creationId xmlns:a16="http://schemas.microsoft.com/office/drawing/2014/main" id="{DF792B82-E048-03FF-6A08-0CFB7A91CAA5}"/>
            </a:ext>
          </a:extLst>
        </xdr:cNvPr>
        <xdr:cNvSpPr txBox="1"/>
      </xdr:nvSpPr>
      <xdr:spPr>
        <a:xfrm>
          <a:off x="2529840" y="1409700"/>
          <a:ext cx="998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A93203-9626-42A0-8533-30E72AC23943}"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686</a:t>
          </a:fld>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228600</xdr:colOff>
      <xdr:row>7</xdr:row>
      <xdr:rowOff>152400</xdr:rowOff>
    </xdr:from>
    <xdr:to>
      <xdr:col>8</xdr:col>
      <xdr:colOff>510540</xdr:colOff>
      <xdr:row>9</xdr:row>
      <xdr:rowOff>91440</xdr:rowOff>
    </xdr:to>
    <xdr:sp macro="" textlink="'Pivot Table'!A14">
      <xdr:nvSpPr>
        <xdr:cNvPr id="44" name="TextBox 43">
          <a:extLst>
            <a:ext uri="{FF2B5EF4-FFF2-40B4-BE49-F238E27FC236}">
              <a16:creationId xmlns:a16="http://schemas.microsoft.com/office/drawing/2014/main" id="{1D433B88-4F49-6C76-54CF-12C51F4DD3F4}"/>
            </a:ext>
          </a:extLst>
        </xdr:cNvPr>
        <xdr:cNvSpPr txBox="1"/>
      </xdr:nvSpPr>
      <xdr:spPr>
        <a:xfrm>
          <a:off x="4495800" y="1432560"/>
          <a:ext cx="891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1CCF6A-BE38-4FAA-A96E-4F628C1B349B}"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$54,865.14 </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381000</xdr:colOff>
      <xdr:row>10</xdr:row>
      <xdr:rowOff>129540</xdr:rowOff>
    </xdr:from>
    <xdr:to>
      <xdr:col>8</xdr:col>
      <xdr:colOff>518160</xdr:colOff>
      <xdr:row>23</xdr:row>
      <xdr:rowOff>129540</xdr:rowOff>
    </xdr:to>
    <xdr:graphicFrame macro="">
      <xdr:nvGraphicFramePr>
        <xdr:cNvPr id="45" name="Chart 44">
          <a:extLst>
            <a:ext uri="{FF2B5EF4-FFF2-40B4-BE49-F238E27FC236}">
              <a16:creationId xmlns:a16="http://schemas.microsoft.com/office/drawing/2014/main" id="{93D80A1E-572C-44D2-A169-916041B6D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182880</xdr:colOff>
      <xdr:row>15</xdr:row>
      <xdr:rowOff>22860</xdr:rowOff>
    </xdr:from>
    <xdr:to>
      <xdr:col>16</xdr:col>
      <xdr:colOff>594360</xdr:colOff>
      <xdr:row>23</xdr:row>
      <xdr:rowOff>121920</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B10E94FE-E732-441F-BF30-AB36783B11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107680" y="2766060"/>
              <a:ext cx="2240280" cy="1562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251460</xdr:colOff>
      <xdr:row>6</xdr:row>
      <xdr:rowOff>106680</xdr:rowOff>
    </xdr:from>
    <xdr:to>
      <xdr:col>13</xdr:col>
      <xdr:colOff>53340</xdr:colOff>
      <xdr:row>23</xdr:row>
      <xdr:rowOff>83820</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06A150A8-8EF2-419D-931B-0C9A7688A0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737860" y="1203960"/>
              <a:ext cx="2240280" cy="3086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274320</xdr:colOff>
      <xdr:row>6</xdr:row>
      <xdr:rowOff>0</xdr:rowOff>
    </xdr:from>
    <xdr:to>
      <xdr:col>16</xdr:col>
      <xdr:colOff>586740</xdr:colOff>
      <xdr:row>14</xdr:row>
      <xdr:rowOff>106680</xdr:rowOff>
    </xdr:to>
    <xdr:graphicFrame macro="">
      <xdr:nvGraphicFramePr>
        <xdr:cNvPr id="48" name="Chart 47">
          <a:extLst>
            <a:ext uri="{FF2B5EF4-FFF2-40B4-BE49-F238E27FC236}">
              <a16:creationId xmlns:a16="http://schemas.microsoft.com/office/drawing/2014/main" id="{54D2C53F-C6BA-4FAB-A0F5-4FA2591AE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152400</xdr:colOff>
      <xdr:row>24</xdr:row>
      <xdr:rowOff>129540</xdr:rowOff>
    </xdr:from>
    <xdr:to>
      <xdr:col>9</xdr:col>
      <xdr:colOff>68580</xdr:colOff>
      <xdr:row>28</xdr:row>
      <xdr:rowOff>121920</xdr:rowOff>
    </xdr:to>
    <xdr:graphicFrame macro="">
      <xdr:nvGraphicFramePr>
        <xdr:cNvPr id="50" name="Chart 49">
          <a:extLst>
            <a:ext uri="{FF2B5EF4-FFF2-40B4-BE49-F238E27FC236}">
              <a16:creationId xmlns:a16="http://schemas.microsoft.com/office/drawing/2014/main" id="{E3D61A59-A12D-478A-BBDD-38DFB5DC4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198120</xdr:colOff>
      <xdr:row>24</xdr:row>
      <xdr:rowOff>76200</xdr:rowOff>
    </xdr:from>
    <xdr:to>
      <xdr:col>7</xdr:col>
      <xdr:colOff>281940</xdr:colOff>
      <xdr:row>26</xdr:row>
      <xdr:rowOff>7620</xdr:rowOff>
    </xdr:to>
    <xdr:sp macro="" textlink="">
      <xdr:nvSpPr>
        <xdr:cNvPr id="51" name="TextBox 50">
          <a:extLst>
            <a:ext uri="{FF2B5EF4-FFF2-40B4-BE49-F238E27FC236}">
              <a16:creationId xmlns:a16="http://schemas.microsoft.com/office/drawing/2014/main" id="{B1F64C5E-DFAB-2A2C-EE09-97FD1CC441E5}"/>
            </a:ext>
          </a:extLst>
        </xdr:cNvPr>
        <xdr:cNvSpPr txBox="1"/>
      </xdr:nvSpPr>
      <xdr:spPr>
        <a:xfrm>
          <a:off x="3246120" y="4465320"/>
          <a:ext cx="1303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latin typeface="Calibri" panose="020F0502020204030204" pitchFamily="34" charset="0"/>
              <a:ea typeface="Calibri" panose="020F0502020204030204" pitchFamily="34" charset="0"/>
              <a:cs typeface="Calibri" panose="020F0502020204030204" pitchFamily="34" charset="0"/>
            </a:rPr>
            <a:t>Top 5 Customer</a:t>
          </a:r>
        </a:p>
      </xdr:txBody>
    </xdr:sp>
    <xdr:clientData/>
  </xdr:twoCellAnchor>
  <xdr:twoCellAnchor>
    <xdr:from>
      <xdr:col>9</xdr:col>
      <xdr:colOff>243838</xdr:colOff>
      <xdr:row>24</xdr:row>
      <xdr:rowOff>99060</xdr:rowOff>
    </xdr:from>
    <xdr:to>
      <xdr:col>16</xdr:col>
      <xdr:colOff>518160</xdr:colOff>
      <xdr:row>28</xdr:row>
      <xdr:rowOff>68580</xdr:rowOff>
    </xdr:to>
    <xdr:graphicFrame macro="">
      <xdr:nvGraphicFramePr>
        <xdr:cNvPr id="52" name="Chart 51">
          <a:extLst>
            <a:ext uri="{FF2B5EF4-FFF2-40B4-BE49-F238E27FC236}">
              <a16:creationId xmlns:a16="http://schemas.microsoft.com/office/drawing/2014/main" id="{E52A5660-8834-433A-8265-EA00A3D8B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53340</xdr:colOff>
      <xdr:row>24</xdr:row>
      <xdr:rowOff>99060</xdr:rowOff>
    </xdr:from>
    <xdr:to>
      <xdr:col>14</xdr:col>
      <xdr:colOff>327660</xdr:colOff>
      <xdr:row>25</xdr:row>
      <xdr:rowOff>175260</xdr:rowOff>
    </xdr:to>
    <xdr:sp macro="" textlink="">
      <xdr:nvSpPr>
        <xdr:cNvPr id="53" name="TextBox 52">
          <a:extLst>
            <a:ext uri="{FF2B5EF4-FFF2-40B4-BE49-F238E27FC236}">
              <a16:creationId xmlns:a16="http://schemas.microsoft.com/office/drawing/2014/main" id="{715512C8-5075-FF9F-2176-17A4C10AD150}"/>
            </a:ext>
          </a:extLst>
        </xdr:cNvPr>
        <xdr:cNvSpPr txBox="1"/>
      </xdr:nvSpPr>
      <xdr:spPr>
        <a:xfrm>
          <a:off x="7368540" y="4488180"/>
          <a:ext cx="1493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Months By Sales</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316230</xdr:colOff>
      <xdr:row>5</xdr:row>
      <xdr:rowOff>175261</xdr:rowOff>
    </xdr:from>
    <xdr:to>
      <xdr:col>2</xdr:col>
      <xdr:colOff>556260</xdr:colOff>
      <xdr:row>13</xdr:row>
      <xdr:rowOff>91440</xdr:rowOff>
    </xdr:to>
    <mc:AlternateContent xmlns:mc="http://schemas.openxmlformats.org/markup-compatibility/2006" xmlns:a14="http://schemas.microsoft.com/office/drawing/2010/main">
      <mc:Choice Requires="a14">
        <xdr:graphicFrame macro="">
          <xdr:nvGraphicFramePr>
            <xdr:cNvPr id="54" name="Year">
              <a:extLst>
                <a:ext uri="{FF2B5EF4-FFF2-40B4-BE49-F238E27FC236}">
                  <a16:creationId xmlns:a16="http://schemas.microsoft.com/office/drawing/2014/main" id="{1A744527-8357-4D97-9BE5-786169B7CD8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6230" y="1089661"/>
              <a:ext cx="145923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308610</xdr:colOff>
      <xdr:row>13</xdr:row>
      <xdr:rowOff>114301</xdr:rowOff>
    </xdr:from>
    <xdr:to>
      <xdr:col>2</xdr:col>
      <xdr:colOff>556260</xdr:colOff>
      <xdr:row>21</xdr:row>
      <xdr:rowOff>60961</xdr:rowOff>
    </xdr:to>
    <mc:AlternateContent xmlns:mc="http://schemas.openxmlformats.org/markup-compatibility/2006" xmlns:a14="http://schemas.microsoft.com/office/drawing/2010/main">
      <mc:Choice Requires="a14">
        <xdr:graphicFrame macro="">
          <xdr:nvGraphicFramePr>
            <xdr:cNvPr id="55" name="Category">
              <a:extLst>
                <a:ext uri="{FF2B5EF4-FFF2-40B4-BE49-F238E27FC236}">
                  <a16:creationId xmlns:a16="http://schemas.microsoft.com/office/drawing/2014/main" id="{C4D4FA24-2620-4784-B047-AF1A3904DC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8610" y="2491741"/>
              <a:ext cx="146685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300990</xdr:colOff>
      <xdr:row>21</xdr:row>
      <xdr:rowOff>99060</xdr:rowOff>
    </xdr:from>
    <xdr:to>
      <xdr:col>2</xdr:col>
      <xdr:colOff>556260</xdr:colOff>
      <xdr:row>28</xdr:row>
      <xdr:rowOff>142875</xdr:rowOff>
    </xdr:to>
    <mc:AlternateContent xmlns:mc="http://schemas.openxmlformats.org/markup-compatibility/2006" xmlns:a14="http://schemas.microsoft.com/office/drawing/2010/main">
      <mc:Choice Requires="a14">
        <xdr:graphicFrame macro="">
          <xdr:nvGraphicFramePr>
            <xdr:cNvPr id="56" name="Month">
              <a:extLst>
                <a:ext uri="{FF2B5EF4-FFF2-40B4-BE49-F238E27FC236}">
                  <a16:creationId xmlns:a16="http://schemas.microsoft.com/office/drawing/2014/main" id="{AE0272AF-86FC-4D3B-8BFC-96159BDC84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0990" y="3939540"/>
              <a:ext cx="147447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6123.747890393519" createdVersion="8" refreshedVersion="8" minRefreshableVersion="3" recordCount="64" xr:uid="{91276E27-D6B0-4ED2-93E7-F8F0A545330B}">
  <cacheSource type="worksheet">
    <worksheetSource ref="AF1:AG65" sheet="Pivot Table"/>
  </cacheSource>
  <cacheFields count="2">
    <cacheField name="Customer Name" numFmtId="0">
      <sharedItems/>
    </cacheField>
    <cacheField name="Year" numFmtId="0">
      <sharedItems containsSemiMixedTypes="0" containsString="0" containsNumber="1" containsInteger="1" minValue="2022" maxValue="2025" count="4">
        <n v="2022"/>
        <n v="2023"/>
        <n v="2024"/>
        <n v="202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6123.760346064817" createdVersion="8" refreshedVersion="8" minRefreshableVersion="3" recordCount="70" xr:uid="{276B214E-442E-4131-9B33-A0CB3935518E}">
  <cacheSource type="worksheet">
    <worksheetSource ref="A1:I71" sheet="SuperMarket Sales"/>
  </cacheSource>
  <cacheFields count="9">
    <cacheField name="Order No" numFmtId="0">
      <sharedItems containsSemiMixedTypes="0" containsString="0" containsNumber="1" containsInteger="1" minValue="1001" maxValue="1070"/>
    </cacheField>
    <cacheField name="Customer Name" numFmtId="0">
      <sharedItems count="51">
        <s v="John Smith"/>
        <s v="Jane Doe"/>
        <s v="Michael Johnson"/>
        <s v="Emily Brown"/>
        <s v="David Wilson"/>
        <s v="Lisa Taylor"/>
        <s v="Daniel Martinez"/>
        <s v="Sarah Anderson"/>
        <s v="Christopher Thomas"/>
        <s v="Kimberly Garcia"/>
        <s v="William Hernandez"/>
        <s v="Melissa Lopez"/>
        <s v="Richard Perez"/>
        <s v="Jessica Gonzalez"/>
        <s v="Matthew Wilson"/>
        <s v="Amanda Martinez"/>
        <s v="James Johnson"/>
        <s v="Laura Brown"/>
        <s v="Daniel Smith"/>
        <s v="Jennifer Davis"/>
        <s v="Michael Garcia"/>
        <s v="Amy Hernandez"/>
        <s v="Christopher Rodriguez"/>
        <s v="Jessica Martinez"/>
        <s v="Sarah Smith"/>
        <s v="Matthew Johnson"/>
        <s v="Emily Davis"/>
        <s v="Daniel Wilson"/>
        <s v="Jennifer Martinez"/>
        <s v="Michael Smith"/>
        <s v="Jessica Johnson"/>
        <s v="David Brown"/>
        <s v="Sarah Garcia"/>
        <s v="Matthew Hernandez"/>
        <s v="Emily Rodriguez"/>
        <s v="Daniel Davis"/>
        <s v="Jennifer Smith"/>
        <s v="Sarah Johnson"/>
        <s v="Matthew Garcia"/>
        <s v="Daniel Hernandez"/>
        <s v="Michael Martinez"/>
        <s v="Jessica Wilson"/>
        <s v="David Rodriguez"/>
        <s v="Sarah Gonzalez"/>
        <s v="Matthew Smith"/>
        <s v="Emily Johnson"/>
        <s v="Daniel Brown"/>
        <s v="Jennifer Hernandez"/>
        <s v="Michael Davis"/>
        <s v="Jessica Smith"/>
        <s v="David Martinez"/>
      </sharedItems>
    </cacheField>
    <cacheField name="Location" numFmtId="0">
      <sharedItems count="10">
        <s v="California"/>
        <s v="Texas"/>
        <s v="Florida"/>
        <s v="New York"/>
        <s v="Illinois"/>
        <s v="Pennsylvania"/>
        <s v="Ohio"/>
        <s v="Georgia"/>
        <s v="Michigan"/>
        <s v="North Carolina"/>
      </sharedItems>
    </cacheField>
    <cacheField name="Year" numFmtId="0">
      <sharedItems containsSemiMixedTypes="0" containsString="0" containsNumber="1" containsInteger="1" minValue="2022" maxValue="2025" count="4">
        <n v="2022"/>
        <n v="2023"/>
        <n v="2024"/>
        <n v="2025"/>
      </sharedItems>
    </cacheField>
    <cacheField name="Month" numFmtId="0">
      <sharedItems count="12">
        <s v="Jan"/>
        <s v="Feb"/>
        <s v="Mar"/>
        <s v="Apr"/>
        <s v="May"/>
        <s v="Jun"/>
        <s v="Jul"/>
        <s v="Aug"/>
        <s v="Sep"/>
        <s v="Oct"/>
        <s v="Nov"/>
        <s v="Dec"/>
      </sharedItems>
    </cacheField>
    <cacheField name="Category" numFmtId="0">
      <sharedItems count="8">
        <s v="Computer"/>
        <s v="Desktop"/>
        <s v="Laptop"/>
        <s v="I-Pad"/>
        <s v="Macbook"/>
        <s v="Iphone"/>
        <s v="Harddisk"/>
        <s v="Andriod"/>
      </sharedItems>
    </cacheField>
    <cacheField name="Retail Price (USD)" numFmtId="164">
      <sharedItems containsSemiMixedTypes="0" containsString="0" containsNumber="1" minValue="19.989999999999998" maxValue="199.99"/>
    </cacheField>
    <cacheField name="Order Quantity" numFmtId="0">
      <sharedItems containsSemiMixedTypes="0" containsString="0" containsNumber="1" minValue="4" maxValue="20"/>
    </cacheField>
    <cacheField name="Total (USD)" numFmtId="164">
      <sharedItems containsSemiMixedTypes="0" containsString="0" containsNumber="1" minValue="95.225090909091023" maxValue="1999.9"/>
    </cacheField>
  </cacheFields>
  <extLst>
    <ext xmlns:x14="http://schemas.microsoft.com/office/spreadsheetml/2009/9/main" uri="{725AE2AE-9491-48be-B2B4-4EB974FC3084}">
      <x14:pivotCacheDefinition pivotCacheId="610907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s v="John Smith"/>
    <x v="0"/>
  </r>
  <r>
    <s v="Jane Doe"/>
    <x v="1"/>
  </r>
  <r>
    <s v="Michael Johnson"/>
    <x v="2"/>
  </r>
  <r>
    <s v="Emily Brown"/>
    <x v="3"/>
  </r>
  <r>
    <s v="David Wilson"/>
    <x v="0"/>
  </r>
  <r>
    <s v="Lisa Taylor"/>
    <x v="1"/>
  </r>
  <r>
    <s v="Daniel Martinez"/>
    <x v="2"/>
  </r>
  <r>
    <s v="Sarah Anderson"/>
    <x v="3"/>
  </r>
  <r>
    <s v="Christopher Thomas"/>
    <x v="0"/>
  </r>
  <r>
    <s v="Kimberly Garcia"/>
    <x v="1"/>
  </r>
  <r>
    <s v="William Hernandez"/>
    <x v="2"/>
  </r>
  <r>
    <s v="Melissa Lopez"/>
    <x v="3"/>
  </r>
  <r>
    <s v="Richard Perez"/>
    <x v="0"/>
  </r>
  <r>
    <s v="Jessica Gonzalez"/>
    <x v="1"/>
  </r>
  <r>
    <s v="Matthew Wilson"/>
    <x v="2"/>
  </r>
  <r>
    <s v="Amanda Martinez"/>
    <x v="3"/>
  </r>
  <r>
    <s v="James Johnson"/>
    <x v="0"/>
  </r>
  <r>
    <s v="Laura Brown"/>
    <x v="1"/>
  </r>
  <r>
    <s v="Daniel Smith"/>
    <x v="2"/>
  </r>
  <r>
    <s v="Jennifer Davis"/>
    <x v="3"/>
  </r>
  <r>
    <s v="Michael Garcia"/>
    <x v="0"/>
  </r>
  <r>
    <s v="Amy Hernandez"/>
    <x v="1"/>
  </r>
  <r>
    <s v="Christopher Rodriguez"/>
    <x v="2"/>
  </r>
  <r>
    <s v="Jessica Martinez"/>
    <x v="3"/>
  </r>
  <r>
    <s v="Sarah Smith"/>
    <x v="0"/>
  </r>
  <r>
    <s v="Matthew Johnson"/>
    <x v="1"/>
  </r>
  <r>
    <s v="Emily Davis"/>
    <x v="2"/>
  </r>
  <r>
    <s v="Daniel Wilson"/>
    <x v="3"/>
  </r>
  <r>
    <s v="Jennifer Martinez"/>
    <x v="0"/>
  </r>
  <r>
    <s v="Michael Smith"/>
    <x v="1"/>
  </r>
  <r>
    <s v="Jessica Johnson"/>
    <x v="2"/>
  </r>
  <r>
    <s v="David Brown"/>
    <x v="3"/>
  </r>
  <r>
    <s v="Sarah Garcia"/>
    <x v="0"/>
  </r>
  <r>
    <s v="Matthew Hernandez"/>
    <x v="1"/>
  </r>
  <r>
    <s v="Emily Rodriguez"/>
    <x v="2"/>
  </r>
  <r>
    <s v="Daniel Davis"/>
    <x v="3"/>
  </r>
  <r>
    <s v="Jennifer Smith"/>
    <x v="0"/>
  </r>
  <r>
    <s v="Sarah Johnson"/>
    <x v="1"/>
  </r>
  <r>
    <s v="Matthew Garcia"/>
    <x v="2"/>
  </r>
  <r>
    <s v="Daniel Hernandez"/>
    <x v="3"/>
  </r>
  <r>
    <s v="Michael Martinez"/>
    <x v="0"/>
  </r>
  <r>
    <s v="Jessica Wilson"/>
    <x v="1"/>
  </r>
  <r>
    <s v="David Rodriguez"/>
    <x v="2"/>
  </r>
  <r>
    <s v="Sarah Gonzalez"/>
    <x v="3"/>
  </r>
  <r>
    <s v="Matthew Smith"/>
    <x v="0"/>
  </r>
  <r>
    <s v="Emily Johnson"/>
    <x v="1"/>
  </r>
  <r>
    <s v="Daniel Brown"/>
    <x v="2"/>
  </r>
  <r>
    <s v="Emily Johnson"/>
    <x v="3"/>
  </r>
  <r>
    <s v="Michael Davis"/>
    <x v="0"/>
  </r>
  <r>
    <s v="Jessica Smith"/>
    <x v="1"/>
  </r>
  <r>
    <s v="David Martinez"/>
    <x v="2"/>
  </r>
  <r>
    <s v="John Smith"/>
    <x v="3"/>
  </r>
  <r>
    <s v="Jane Doe"/>
    <x v="0"/>
  </r>
  <r>
    <s v="Michael Johnson"/>
    <x v="1"/>
  </r>
  <r>
    <s v="Emily Brown"/>
    <x v="2"/>
  </r>
  <r>
    <s v="David Wilson"/>
    <x v="3"/>
  </r>
  <r>
    <s v="Lisa Taylor"/>
    <x v="0"/>
  </r>
  <r>
    <s v="Daniel Martinez"/>
    <x v="1"/>
  </r>
  <r>
    <s v="Sarah Anderson"/>
    <x v="2"/>
  </r>
  <r>
    <s v="Christopher Thomas"/>
    <x v="3"/>
  </r>
  <r>
    <s v="Kimberly Garcia"/>
    <x v="0"/>
  </r>
  <r>
    <s v="Lisa Taylor"/>
    <x v="1"/>
  </r>
  <r>
    <s v="Lisa Taylor"/>
    <x v="2"/>
  </r>
  <r>
    <s v="Richard Pere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001"/>
    <x v="0"/>
    <x v="0"/>
    <x v="0"/>
    <x v="0"/>
    <x v="0"/>
    <n v="49.99"/>
    <n v="10"/>
    <n v="499.90000000000003"/>
  </r>
  <r>
    <n v="1002"/>
    <x v="1"/>
    <x v="1"/>
    <x v="1"/>
    <x v="1"/>
    <x v="1"/>
    <n v="29.99"/>
    <n v="15"/>
    <n v="449.84999999999997"/>
  </r>
  <r>
    <n v="1003"/>
    <x v="2"/>
    <x v="2"/>
    <x v="2"/>
    <x v="2"/>
    <x v="2"/>
    <n v="99.99"/>
    <n v="15"/>
    <n v="1499.85"/>
  </r>
  <r>
    <n v="1004"/>
    <x v="3"/>
    <x v="3"/>
    <x v="3"/>
    <x v="3"/>
    <x v="3"/>
    <n v="19.989999999999998"/>
    <n v="10"/>
    <n v="199.89999999999998"/>
  </r>
  <r>
    <n v="1005"/>
    <x v="4"/>
    <x v="4"/>
    <x v="0"/>
    <x v="4"/>
    <x v="4"/>
    <n v="149.99"/>
    <n v="9"/>
    <n v="1349.91"/>
  </r>
  <r>
    <n v="1006"/>
    <x v="5"/>
    <x v="5"/>
    <x v="1"/>
    <x v="5"/>
    <x v="5"/>
    <n v="79.989999999999995"/>
    <n v="10"/>
    <n v="799.9"/>
  </r>
  <r>
    <n v="1007"/>
    <x v="6"/>
    <x v="6"/>
    <x v="2"/>
    <x v="6"/>
    <x v="6"/>
    <n v="39.99"/>
    <n v="4"/>
    <n v="159.96"/>
  </r>
  <r>
    <n v="1008"/>
    <x v="7"/>
    <x v="7"/>
    <x v="3"/>
    <x v="7"/>
    <x v="7"/>
    <n v="69.989999999999995"/>
    <n v="5"/>
    <n v="349.95"/>
  </r>
  <r>
    <n v="1009"/>
    <x v="8"/>
    <x v="8"/>
    <x v="0"/>
    <x v="8"/>
    <x v="0"/>
    <n v="89.99"/>
    <n v="6"/>
    <n v="539.93999999999994"/>
  </r>
  <r>
    <n v="1010"/>
    <x v="9"/>
    <x v="9"/>
    <x v="1"/>
    <x v="9"/>
    <x v="1"/>
    <n v="199.99"/>
    <n v="8"/>
    <n v="1599.92"/>
  </r>
  <r>
    <n v="1011"/>
    <x v="10"/>
    <x v="0"/>
    <x v="2"/>
    <x v="10"/>
    <x v="2"/>
    <n v="29.99"/>
    <n v="5.6"/>
    <n v="167.94399999999999"/>
  </r>
  <r>
    <n v="1012"/>
    <x v="11"/>
    <x v="1"/>
    <x v="3"/>
    <x v="11"/>
    <x v="3"/>
    <n v="79.989999999999995"/>
    <n v="4.7636363636363699"/>
    <n v="381.04327272727318"/>
  </r>
  <r>
    <n v="1013"/>
    <x v="12"/>
    <x v="2"/>
    <x v="0"/>
    <x v="0"/>
    <x v="4"/>
    <n v="49.99"/>
    <n v="10"/>
    <n v="499.90000000000003"/>
  </r>
  <r>
    <n v="1014"/>
    <x v="13"/>
    <x v="3"/>
    <x v="1"/>
    <x v="1"/>
    <x v="5"/>
    <n v="129.99"/>
    <n v="15"/>
    <n v="1949.8500000000001"/>
  </r>
  <r>
    <n v="1015"/>
    <x v="14"/>
    <x v="5"/>
    <x v="2"/>
    <x v="2"/>
    <x v="6"/>
    <n v="19.989999999999998"/>
    <n v="15"/>
    <n v="299.84999999999997"/>
  </r>
  <r>
    <n v="1016"/>
    <x v="15"/>
    <x v="5"/>
    <x v="3"/>
    <x v="3"/>
    <x v="7"/>
    <n v="149.99"/>
    <n v="10"/>
    <n v="1499.9"/>
  </r>
  <r>
    <n v="1017"/>
    <x v="16"/>
    <x v="6"/>
    <x v="0"/>
    <x v="4"/>
    <x v="0"/>
    <n v="69.989999999999995"/>
    <n v="9"/>
    <n v="629.91"/>
  </r>
  <r>
    <n v="1018"/>
    <x v="17"/>
    <x v="7"/>
    <x v="1"/>
    <x v="5"/>
    <x v="1"/>
    <n v="39.99"/>
    <n v="20"/>
    <n v="799.80000000000007"/>
  </r>
  <r>
    <n v="1019"/>
    <x v="18"/>
    <x v="8"/>
    <x v="2"/>
    <x v="6"/>
    <x v="2"/>
    <n v="199.99"/>
    <n v="4"/>
    <n v="799.96"/>
  </r>
  <r>
    <n v="1020"/>
    <x v="19"/>
    <x v="9"/>
    <x v="3"/>
    <x v="7"/>
    <x v="3"/>
    <n v="29.99"/>
    <n v="5"/>
    <n v="149.94999999999999"/>
  </r>
  <r>
    <n v="1021"/>
    <x v="20"/>
    <x v="0"/>
    <x v="0"/>
    <x v="8"/>
    <x v="4"/>
    <n v="79.989999999999995"/>
    <n v="6"/>
    <n v="479.93999999999994"/>
  </r>
  <r>
    <n v="1022"/>
    <x v="21"/>
    <x v="1"/>
    <x v="1"/>
    <x v="9"/>
    <x v="5"/>
    <n v="49.99"/>
    <n v="8"/>
    <n v="399.92"/>
  </r>
  <r>
    <n v="1023"/>
    <x v="22"/>
    <x v="2"/>
    <x v="2"/>
    <x v="10"/>
    <x v="6"/>
    <n v="129.99"/>
    <n v="5.6"/>
    <n v="727.94399999999996"/>
  </r>
  <r>
    <n v="1024"/>
    <x v="23"/>
    <x v="3"/>
    <x v="3"/>
    <x v="11"/>
    <x v="7"/>
    <n v="19.989999999999998"/>
    <n v="4.7636363636363699"/>
    <n v="95.225090909091023"/>
  </r>
  <r>
    <n v="1025"/>
    <x v="24"/>
    <x v="4"/>
    <x v="0"/>
    <x v="0"/>
    <x v="0"/>
    <n v="149.99"/>
    <n v="10"/>
    <n v="1499.9"/>
  </r>
  <r>
    <n v="1026"/>
    <x v="25"/>
    <x v="5"/>
    <x v="1"/>
    <x v="1"/>
    <x v="1"/>
    <n v="69.989999999999995"/>
    <n v="15"/>
    <n v="1049.8499999999999"/>
  </r>
  <r>
    <n v="1027"/>
    <x v="26"/>
    <x v="6"/>
    <x v="2"/>
    <x v="2"/>
    <x v="2"/>
    <n v="39.99"/>
    <n v="15"/>
    <n v="599.85"/>
  </r>
  <r>
    <n v="1028"/>
    <x v="27"/>
    <x v="7"/>
    <x v="3"/>
    <x v="3"/>
    <x v="3"/>
    <n v="199.99"/>
    <n v="10"/>
    <n v="1999.9"/>
  </r>
  <r>
    <n v="1029"/>
    <x v="28"/>
    <x v="5"/>
    <x v="0"/>
    <x v="4"/>
    <x v="4"/>
    <n v="29.99"/>
    <n v="9"/>
    <n v="269.90999999999997"/>
  </r>
  <r>
    <n v="1030"/>
    <x v="29"/>
    <x v="9"/>
    <x v="1"/>
    <x v="5"/>
    <x v="5"/>
    <n v="79.989999999999995"/>
    <n v="20"/>
    <n v="1599.8"/>
  </r>
  <r>
    <n v="1031"/>
    <x v="30"/>
    <x v="0"/>
    <x v="2"/>
    <x v="6"/>
    <x v="6"/>
    <n v="49.99"/>
    <n v="4"/>
    <n v="199.96"/>
  </r>
  <r>
    <n v="1032"/>
    <x v="31"/>
    <x v="1"/>
    <x v="3"/>
    <x v="7"/>
    <x v="7"/>
    <n v="129.99"/>
    <n v="5"/>
    <n v="649.95000000000005"/>
  </r>
  <r>
    <n v="1033"/>
    <x v="32"/>
    <x v="2"/>
    <x v="0"/>
    <x v="8"/>
    <x v="0"/>
    <n v="19.989999999999998"/>
    <n v="6"/>
    <n v="119.94"/>
  </r>
  <r>
    <n v="1034"/>
    <x v="33"/>
    <x v="3"/>
    <x v="1"/>
    <x v="9"/>
    <x v="1"/>
    <n v="149.99"/>
    <n v="8"/>
    <n v="1199.92"/>
  </r>
  <r>
    <n v="1035"/>
    <x v="34"/>
    <x v="4"/>
    <x v="2"/>
    <x v="10"/>
    <x v="2"/>
    <n v="69.989999999999995"/>
    <n v="5.6"/>
    <n v="391.94399999999996"/>
  </r>
  <r>
    <n v="1036"/>
    <x v="35"/>
    <x v="5"/>
    <x v="3"/>
    <x v="11"/>
    <x v="3"/>
    <n v="39.99"/>
    <n v="4.7636363636363699"/>
    <n v="190.49781818181845"/>
  </r>
  <r>
    <n v="1037"/>
    <x v="36"/>
    <x v="6"/>
    <x v="0"/>
    <x v="0"/>
    <x v="4"/>
    <n v="199.99"/>
    <n v="10"/>
    <n v="1999.9"/>
  </r>
  <r>
    <n v="1038"/>
    <x v="37"/>
    <x v="7"/>
    <x v="1"/>
    <x v="1"/>
    <x v="5"/>
    <n v="29.99"/>
    <n v="15"/>
    <n v="449.84999999999997"/>
  </r>
  <r>
    <n v="1039"/>
    <x v="38"/>
    <x v="8"/>
    <x v="2"/>
    <x v="2"/>
    <x v="6"/>
    <n v="79.989999999999995"/>
    <n v="15"/>
    <n v="1199.8499999999999"/>
  </r>
  <r>
    <n v="1040"/>
    <x v="39"/>
    <x v="9"/>
    <x v="3"/>
    <x v="3"/>
    <x v="7"/>
    <n v="49.99"/>
    <n v="10"/>
    <n v="499.90000000000003"/>
  </r>
  <r>
    <n v="1041"/>
    <x v="40"/>
    <x v="5"/>
    <x v="0"/>
    <x v="4"/>
    <x v="0"/>
    <n v="129.99"/>
    <n v="9"/>
    <n v="1169.9100000000001"/>
  </r>
  <r>
    <n v="1042"/>
    <x v="41"/>
    <x v="1"/>
    <x v="1"/>
    <x v="5"/>
    <x v="1"/>
    <n v="19.989999999999998"/>
    <n v="20"/>
    <n v="399.79999999999995"/>
  </r>
  <r>
    <n v="1043"/>
    <x v="42"/>
    <x v="2"/>
    <x v="2"/>
    <x v="6"/>
    <x v="2"/>
    <n v="149.99"/>
    <n v="4"/>
    <n v="599.96"/>
  </r>
  <r>
    <n v="1044"/>
    <x v="43"/>
    <x v="3"/>
    <x v="3"/>
    <x v="7"/>
    <x v="3"/>
    <n v="69.989999999999995"/>
    <n v="5"/>
    <n v="349.95"/>
  </r>
  <r>
    <n v="1045"/>
    <x v="44"/>
    <x v="4"/>
    <x v="0"/>
    <x v="8"/>
    <x v="4"/>
    <n v="39.99"/>
    <n v="6"/>
    <n v="239.94"/>
  </r>
  <r>
    <n v="1046"/>
    <x v="45"/>
    <x v="5"/>
    <x v="1"/>
    <x v="9"/>
    <x v="5"/>
    <n v="199.99"/>
    <n v="8"/>
    <n v="1599.92"/>
  </r>
  <r>
    <n v="1047"/>
    <x v="46"/>
    <x v="6"/>
    <x v="2"/>
    <x v="10"/>
    <x v="6"/>
    <n v="29.99"/>
    <n v="5.6"/>
    <n v="167.94399999999999"/>
  </r>
  <r>
    <n v="1048"/>
    <x v="47"/>
    <x v="7"/>
    <x v="3"/>
    <x v="11"/>
    <x v="7"/>
    <n v="79.989999999999995"/>
    <n v="4.7636363636363699"/>
    <n v="381.04327272727318"/>
  </r>
  <r>
    <n v="1049"/>
    <x v="48"/>
    <x v="5"/>
    <x v="0"/>
    <x v="0"/>
    <x v="0"/>
    <n v="49.99"/>
    <n v="10"/>
    <n v="499.90000000000003"/>
  </r>
  <r>
    <n v="1050"/>
    <x v="49"/>
    <x v="5"/>
    <x v="1"/>
    <x v="1"/>
    <x v="1"/>
    <n v="129.99"/>
    <n v="10"/>
    <n v="1949.8500000000001"/>
  </r>
  <r>
    <n v="1051"/>
    <x v="50"/>
    <x v="0"/>
    <x v="2"/>
    <x v="2"/>
    <x v="2"/>
    <n v="19.989999999999998"/>
    <n v="15"/>
    <n v="299.84999999999997"/>
  </r>
  <r>
    <n v="1052"/>
    <x v="0"/>
    <x v="1"/>
    <x v="3"/>
    <x v="3"/>
    <x v="3"/>
    <n v="149.99"/>
    <n v="15"/>
    <n v="1499.9"/>
  </r>
  <r>
    <n v="1053"/>
    <x v="1"/>
    <x v="2"/>
    <x v="0"/>
    <x v="4"/>
    <x v="4"/>
    <n v="69.989999999999995"/>
    <n v="10"/>
    <n v="629.91"/>
  </r>
  <r>
    <n v="1054"/>
    <x v="2"/>
    <x v="3"/>
    <x v="1"/>
    <x v="5"/>
    <x v="5"/>
    <n v="39.99"/>
    <n v="9"/>
    <n v="799.80000000000007"/>
  </r>
  <r>
    <n v="1055"/>
    <x v="3"/>
    <x v="4"/>
    <x v="2"/>
    <x v="6"/>
    <x v="6"/>
    <n v="199.99"/>
    <n v="20"/>
    <n v="799.96"/>
  </r>
  <r>
    <n v="1056"/>
    <x v="4"/>
    <x v="5"/>
    <x v="3"/>
    <x v="7"/>
    <x v="7"/>
    <n v="29.99"/>
    <n v="4"/>
    <n v="149.94999999999999"/>
  </r>
  <r>
    <n v="1057"/>
    <x v="5"/>
    <x v="6"/>
    <x v="0"/>
    <x v="8"/>
    <x v="0"/>
    <n v="79.989999999999995"/>
    <n v="5"/>
    <n v="479.93999999999994"/>
  </r>
  <r>
    <n v="1058"/>
    <x v="6"/>
    <x v="7"/>
    <x v="1"/>
    <x v="9"/>
    <x v="1"/>
    <n v="49.99"/>
    <n v="6"/>
    <n v="399.92"/>
  </r>
  <r>
    <n v="1059"/>
    <x v="7"/>
    <x v="8"/>
    <x v="2"/>
    <x v="10"/>
    <x v="2"/>
    <n v="129.99"/>
    <n v="8"/>
    <n v="727.94399999999996"/>
  </r>
  <r>
    <n v="1060"/>
    <x v="8"/>
    <x v="9"/>
    <x v="3"/>
    <x v="11"/>
    <x v="3"/>
    <n v="19.989999999999998"/>
    <n v="5.6"/>
    <n v="199.89999999999998"/>
  </r>
  <r>
    <n v="1061"/>
    <x v="9"/>
    <x v="0"/>
    <x v="0"/>
    <x v="0"/>
    <x v="4"/>
    <n v="149.99"/>
    <n v="10"/>
    <n v="1049.8499999999999"/>
  </r>
  <r>
    <n v="1062"/>
    <x v="10"/>
    <x v="1"/>
    <x v="1"/>
    <x v="1"/>
    <x v="5"/>
    <n v="69.989999999999995"/>
    <n v="15"/>
    <n v="599.85"/>
  </r>
  <r>
    <n v="1063"/>
    <x v="11"/>
    <x v="2"/>
    <x v="2"/>
    <x v="2"/>
    <x v="6"/>
    <n v="39.99"/>
    <n v="15"/>
    <n v="1999.9"/>
  </r>
  <r>
    <n v="1064"/>
    <x v="12"/>
    <x v="5"/>
    <x v="3"/>
    <x v="3"/>
    <x v="7"/>
    <n v="199.99"/>
    <n v="10"/>
    <n v="269.90999999999997"/>
  </r>
  <r>
    <n v="1065"/>
    <x v="0"/>
    <x v="4"/>
    <x v="0"/>
    <x v="4"/>
    <x v="0"/>
    <n v="29.99"/>
    <n v="9"/>
    <n v="1599.8"/>
  </r>
  <r>
    <n v="1066"/>
    <x v="1"/>
    <x v="5"/>
    <x v="1"/>
    <x v="5"/>
    <x v="1"/>
    <n v="79.989999999999995"/>
    <n v="20"/>
    <n v="499.90000000000003"/>
  </r>
  <r>
    <n v="1067"/>
    <x v="2"/>
    <x v="6"/>
    <x v="2"/>
    <x v="6"/>
    <x v="2"/>
    <n v="49.99"/>
    <n v="10"/>
    <n v="1949.8500000000001"/>
  </r>
  <r>
    <n v="1068"/>
    <x v="3"/>
    <x v="7"/>
    <x v="3"/>
    <x v="7"/>
    <x v="3"/>
    <n v="129.99"/>
    <n v="15"/>
    <n v="299.84999999999997"/>
  </r>
  <r>
    <n v="1069"/>
    <x v="4"/>
    <x v="8"/>
    <x v="0"/>
    <x v="8"/>
    <x v="4"/>
    <n v="19.989999999999998"/>
    <n v="15"/>
    <n v="1499.9"/>
  </r>
  <r>
    <n v="1070"/>
    <x v="5"/>
    <x v="9"/>
    <x v="1"/>
    <x v="9"/>
    <x v="5"/>
    <n v="149.99"/>
    <n v="10"/>
    <n v="14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7AE367-7801-4621-AF40-41B43EBA41AB}"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15" firstHeaderRow="1" firstDataRow="1" firstDataCol="1"/>
  <pivotFields count="9">
    <pivotField showAll="0"/>
    <pivotField showAll="0"/>
    <pivotField axis="axisRow" showAll="0" sortType="descending">
      <items count="11">
        <item x="0"/>
        <item x="2"/>
        <item x="7"/>
        <item x="4"/>
        <item x="8"/>
        <item x="3"/>
        <item x="9"/>
        <item x="6"/>
        <item x="5"/>
        <item x="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9">
        <item x="7"/>
        <item x="0"/>
        <item x="1"/>
        <item x="6"/>
        <item x="3"/>
        <item x="5"/>
        <item x="2"/>
        <item x="4"/>
        <item t="default"/>
      </items>
    </pivotField>
    <pivotField numFmtId="164" showAll="0"/>
    <pivotField showAll="0"/>
    <pivotField dataField="1" numFmtId="164" showAll="0"/>
  </pivotFields>
  <rowFields count="1">
    <field x="2"/>
  </rowFields>
  <rowItems count="11">
    <i>
      <x v="8"/>
    </i>
    <i>
      <x v="1"/>
    </i>
    <i>
      <x v="7"/>
    </i>
    <i>
      <x v="3"/>
    </i>
    <i>
      <x v="6"/>
    </i>
    <i>
      <x v="4"/>
    </i>
    <i>
      <x v="2"/>
    </i>
    <i>
      <x v="5"/>
    </i>
    <i>
      <x v="9"/>
    </i>
    <i>
      <x/>
    </i>
    <i t="grand">
      <x/>
    </i>
  </rowItems>
  <colItems count="1">
    <i/>
  </colItems>
  <dataFields count="1">
    <dataField name="Sum of Total (USD)"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D3E90E-640E-45A4-A43B-2C57CCCA7FF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9">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9">
        <item x="7"/>
        <item x="0"/>
        <item x="1"/>
        <item x="6"/>
        <item x="3"/>
        <item x="5"/>
        <item x="2"/>
        <item x="4"/>
        <item t="default"/>
      </items>
    </pivotField>
    <pivotField numFmtId="164" showAll="0"/>
    <pivotField dataField="1" showAll="0"/>
    <pivotField numFmtId="164" showAll="0"/>
  </pivotFields>
  <rowItems count="1">
    <i/>
  </rowItems>
  <colItems count="1">
    <i/>
  </colItems>
  <dataFields count="1">
    <dataField name="Sum of Order Quantity" fld="7" baseField="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F48674-0956-4863-9E4A-B171C3B46CE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4:AD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5F7860-4E1A-4590-AE20-18058E537E10}"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4:AJ17" firstHeaderRow="1" firstDataRow="1" firstDataCol="1"/>
  <pivotFields count="9">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items count="9">
        <item x="7"/>
        <item x="0"/>
        <item x="1"/>
        <item x="6"/>
        <item x="3"/>
        <item x="5"/>
        <item x="2"/>
        <item x="4"/>
        <item t="default"/>
      </items>
    </pivotField>
    <pivotField numFmtId="164" showAll="0"/>
    <pivotField showAll="0"/>
    <pivotField dataField="1" numFmtId="164" showAll="0"/>
  </pivotFields>
  <rowFields count="1">
    <field x="4"/>
  </rowFields>
  <rowItems count="13">
    <i>
      <x/>
    </i>
    <i>
      <x v="1"/>
    </i>
    <i>
      <x v="2"/>
    </i>
    <i>
      <x v="3"/>
    </i>
    <i>
      <x v="4"/>
    </i>
    <i>
      <x v="5"/>
    </i>
    <i>
      <x v="6"/>
    </i>
    <i>
      <x v="7"/>
    </i>
    <i>
      <x v="8"/>
    </i>
    <i>
      <x v="9"/>
    </i>
    <i>
      <x v="10"/>
    </i>
    <i>
      <x v="11"/>
    </i>
    <i t="grand">
      <x/>
    </i>
  </rowItems>
  <colItems count="1">
    <i/>
  </colItems>
  <dataFields count="1">
    <dataField name="Sum of Total (USD)" fld="8" baseField="0"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0DADCD-AB31-4977-924A-0574B8A4F5A0}"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F4:AG10" firstHeaderRow="1" firstDataRow="1" firstDataCol="1"/>
  <pivotFields count="9">
    <pivotField showAll="0"/>
    <pivotField axis="axisRow" showAll="0" measureFilter="1" sortType="descending">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9">
        <item x="7"/>
        <item x="0"/>
        <item x="1"/>
        <item x="6"/>
        <item x="3"/>
        <item x="5"/>
        <item x="2"/>
        <item x="4"/>
        <item t="default"/>
      </items>
    </pivotField>
    <pivotField numFmtId="164" showAll="0"/>
    <pivotField showAll="0"/>
    <pivotField dataField="1" numFmtId="164" showAll="0"/>
  </pivotFields>
  <rowFields count="1">
    <field x="1"/>
  </rowFields>
  <rowItems count="6">
    <i>
      <x v="41"/>
    </i>
    <i>
      <x v="29"/>
    </i>
    <i>
      <x v="13"/>
    </i>
    <i>
      <x v="32"/>
    </i>
    <i>
      <x v="30"/>
    </i>
    <i t="grand">
      <x/>
    </i>
  </rowItems>
  <colItems count="1">
    <i/>
  </colItems>
  <dataFields count="1">
    <dataField name="Sum of Total (USD)" fld="8"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EF152-BF23-4BE6-B757-B96DF4FA4DC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9">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9">
        <item x="7"/>
        <item x="0"/>
        <item x="1"/>
        <item x="6"/>
        <item x="3"/>
        <item x="5"/>
        <item x="2"/>
        <item x="4"/>
        <item t="default"/>
      </items>
    </pivotField>
    <pivotField numFmtId="164" showAll="0"/>
    <pivotField showAll="0"/>
    <pivotField dataField="1" numFmtId="164" showAll="0"/>
  </pivotFields>
  <rowItems count="1">
    <i/>
  </rowItems>
  <colItems count="1">
    <i/>
  </colItems>
  <dataFields count="1">
    <dataField name="Sum of Total (USD)"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696BA3-BA06-4BCD-B1DE-3B9D8371CF0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U13" firstHeaderRow="1" firstDataRow="1" firstDataCol="1"/>
  <pivotFields count="9">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sortType="descending">
      <items count="9">
        <item x="7"/>
        <item x="0"/>
        <item x="1"/>
        <item x="6"/>
        <item x="3"/>
        <item x="5"/>
        <item x="2"/>
        <item x="4"/>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164" showAll="0"/>
  </pivotFields>
  <rowFields count="1">
    <field x="5"/>
  </rowFields>
  <rowItems count="9">
    <i>
      <x v="5"/>
    </i>
    <i>
      <x v="2"/>
    </i>
    <i>
      <x v="7"/>
    </i>
    <i>
      <x v="1"/>
    </i>
    <i>
      <x v="6"/>
    </i>
    <i>
      <x v="3"/>
    </i>
    <i>
      <x v="4"/>
    </i>
    <i>
      <x/>
    </i>
    <i t="grand">
      <x/>
    </i>
  </rowItems>
  <colItems count="1">
    <i/>
  </colItems>
  <dataFields count="1">
    <dataField name="Sum of Total (USD)"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5F33F-BF5F-46E2-9CB1-2F1D0988167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L10" firstHeaderRow="1" firstDataRow="2" firstDataCol="1"/>
  <pivotFields count="9">
    <pivotField showAll="0"/>
    <pivotField showAll="0"/>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axis="axisCol" showAll="0">
      <items count="9">
        <item x="7"/>
        <item x="0"/>
        <item x="1"/>
        <item x="6"/>
        <item x="3"/>
        <item x="5"/>
        <item x="2"/>
        <item x="4"/>
        <item t="default"/>
      </items>
    </pivotField>
    <pivotField numFmtId="164" showAll="0"/>
    <pivotField showAll="0"/>
    <pivotField dataField="1" numFmtId="164" showAll="0"/>
  </pivotFields>
  <rowFields count="1">
    <field x="3"/>
  </rowFields>
  <rowItems count="5">
    <i>
      <x/>
    </i>
    <i>
      <x v="1"/>
    </i>
    <i>
      <x v="2"/>
    </i>
    <i>
      <x v="3"/>
    </i>
    <i t="grand">
      <x/>
    </i>
  </rowItems>
  <colFields count="1">
    <field x="5"/>
  </colFields>
  <colItems count="9">
    <i>
      <x/>
    </i>
    <i>
      <x v="1"/>
    </i>
    <i>
      <x v="2"/>
    </i>
    <i>
      <x v="3"/>
    </i>
    <i>
      <x v="4"/>
    </i>
    <i>
      <x v="5"/>
    </i>
    <i>
      <x v="6"/>
    </i>
    <i>
      <x v="7"/>
    </i>
    <i t="grand">
      <x/>
    </i>
  </colItems>
  <dataFields count="1">
    <dataField name="Sum of Total (USD)" fld="8" baseField="0" baseItem="0" numFmtId="164"/>
  </dataFields>
  <chartFormats count="9">
    <chartFormat chart="3" format="16" series="1">
      <pivotArea type="data" outline="0" fieldPosition="0">
        <references count="2">
          <reference field="4294967294" count="1" selected="0">
            <x v="0"/>
          </reference>
          <reference field="5" count="1" selected="0">
            <x v="0"/>
          </reference>
        </references>
      </pivotArea>
    </chartFormat>
    <chartFormat chart="3" format="17" series="1">
      <pivotArea type="data" outline="0" fieldPosition="0">
        <references count="2">
          <reference field="4294967294" count="1" selected="0">
            <x v="0"/>
          </reference>
          <reference field="5" count="1" selected="0">
            <x v="1"/>
          </reference>
        </references>
      </pivotArea>
    </chartFormat>
    <chartFormat chart="3" format="18" series="1">
      <pivotArea type="data" outline="0" fieldPosition="0">
        <references count="2">
          <reference field="4294967294" count="1" selected="0">
            <x v="0"/>
          </reference>
          <reference field="5" count="1" selected="0">
            <x v="2"/>
          </reference>
        </references>
      </pivotArea>
    </chartFormat>
    <chartFormat chart="3" format="19" series="1">
      <pivotArea type="data" outline="0" fieldPosition="0">
        <references count="2">
          <reference field="4294967294" count="1" selected="0">
            <x v="0"/>
          </reference>
          <reference field="5" count="1" selected="0">
            <x v="3"/>
          </reference>
        </references>
      </pivotArea>
    </chartFormat>
    <chartFormat chart="3" format="20" series="1">
      <pivotArea type="data" outline="0" fieldPosition="0">
        <references count="2">
          <reference field="4294967294" count="1" selected="0">
            <x v="0"/>
          </reference>
          <reference field="5" count="1" selected="0">
            <x v="4"/>
          </reference>
        </references>
      </pivotArea>
    </chartFormat>
    <chartFormat chart="3" format="21" series="1">
      <pivotArea type="data" outline="0" fieldPosition="0">
        <references count="2">
          <reference field="4294967294" count="1" selected="0">
            <x v="0"/>
          </reference>
          <reference field="5" count="1" selected="0">
            <x v="5"/>
          </reference>
        </references>
      </pivotArea>
    </chartFormat>
    <chartFormat chart="3" format="22" series="1">
      <pivotArea type="data" outline="0" fieldPosition="0">
        <references count="2">
          <reference field="4294967294" count="1" selected="0">
            <x v="0"/>
          </reference>
          <reference field="5" count="1" selected="0">
            <x v="6"/>
          </reference>
        </references>
      </pivotArea>
    </chartFormat>
    <chartFormat chart="3" format="23" series="1">
      <pivotArea type="data" outline="0" fieldPosition="0">
        <references count="2">
          <reference field="4294967294" count="1" selected="0">
            <x v="0"/>
          </reference>
          <reference field="5" count="1" selected="0">
            <x v="7"/>
          </reference>
        </references>
      </pivotArea>
    </chartFormat>
    <chartFormat chart="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7294D7-09ED-4347-9E9E-5BED9599E5B9}" sourceName="Year">
  <pivotTables>
    <pivotTable tabId="3" name="PivotTable10"/>
    <pivotTable tabId="3" name="PivotTable1"/>
    <pivotTable tabId="3" name="PivotTable2"/>
    <pivotTable tabId="3" name="PivotTable3"/>
    <pivotTable tabId="3" name="PivotTable5"/>
    <pivotTable tabId="3" name="PivotTable9"/>
  </pivotTables>
  <data>
    <tabular pivotCacheId="61090790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5BBBC8-FF9D-4C66-ABD4-32853027CB66}" sourceName="Category">
  <pivotTables>
    <pivotTable tabId="3" name="PivotTable10"/>
    <pivotTable tabId="3" name="PivotTable1"/>
    <pivotTable tabId="3" name="PivotTable2"/>
    <pivotTable tabId="3" name="PivotTable3"/>
    <pivotTable tabId="3" name="PivotTable5"/>
    <pivotTable tabId="3" name="PivotTable9"/>
  </pivotTables>
  <data>
    <tabular pivotCacheId="610907905">
      <items count="8">
        <i x="7" s="1"/>
        <i x="0" s="1"/>
        <i x="1" s="1"/>
        <i x="6" s="1"/>
        <i x="3" s="1"/>
        <i x="5"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75D9EF-C5B3-4DE7-9925-89FEBA8F69F8}" sourceName="Month">
  <pivotTables>
    <pivotTable tabId="3" name="PivotTable10"/>
    <pivotTable tabId="3" name="PivotTable1"/>
    <pivotTable tabId="3" name="PivotTable2"/>
    <pivotTable tabId="3" name="PivotTable3"/>
    <pivotTable tabId="3" name="PivotTable5"/>
    <pivotTable tabId="3" name="PivotTable9"/>
  </pivotTables>
  <data>
    <tabular pivotCacheId="61090790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F4CEFBB-13F9-481C-A5BF-0D55A19E761C}" cache="Slicer_Year" caption="Year" startItem="1" rowHeight="247650"/>
  <slicer name="Category" xr10:uid="{2AF96DDF-7EA0-46DF-8EA9-845466EE20E9}" cache="Slicer_Category" caption="Category" rowHeight="247650"/>
  <slicer name="Month" xr10:uid="{7B0C00FC-44DD-4D61-B748-9AC4C9C677E6}" cache="Slicer_Month" caption="Month" startItem="9"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B641-85A2-41D5-8251-12E6997024AE}">
  <sheetPr codeName="Sheet1"/>
  <dimension ref="A1:I74"/>
  <sheetViews>
    <sheetView workbookViewId="0">
      <selection activeCell="D23" sqref="D23"/>
    </sheetView>
  </sheetViews>
  <sheetFormatPr defaultRowHeight="14.4" x14ac:dyDescent="0.3"/>
  <cols>
    <col min="1" max="1" width="9.6640625" style="1" bestFit="1" customWidth="1"/>
    <col min="2" max="2" width="19.109375" style="1" bestFit="1" customWidth="1"/>
    <col min="3" max="6" width="19.109375" style="1" customWidth="1"/>
    <col min="7" max="7" width="17.44140625" style="9" bestFit="1" customWidth="1"/>
    <col min="8" max="8" width="15.33203125" style="1" bestFit="1" customWidth="1"/>
    <col min="9" max="9" width="11.5546875" style="9" bestFit="1" customWidth="1"/>
    <col min="10" max="10" width="13.33203125" style="1" customWidth="1"/>
    <col min="11" max="16384" width="8.88671875" style="1"/>
  </cols>
  <sheetData>
    <row r="1" spans="1:9" ht="15.6" x14ac:dyDescent="0.3">
      <c r="A1" s="2" t="s">
        <v>0</v>
      </c>
      <c r="B1" s="2" t="s">
        <v>1</v>
      </c>
      <c r="C1" s="2" t="s">
        <v>79</v>
      </c>
      <c r="D1" s="2" t="s">
        <v>56</v>
      </c>
      <c r="E1" s="2" t="s">
        <v>57</v>
      </c>
      <c r="F1" s="2" t="s">
        <v>70</v>
      </c>
      <c r="G1" s="7" t="s">
        <v>2</v>
      </c>
      <c r="H1" s="2" t="s">
        <v>3</v>
      </c>
      <c r="I1" s="10" t="s">
        <v>4</v>
      </c>
    </row>
    <row r="2" spans="1:9" x14ac:dyDescent="0.3">
      <c r="A2" s="3">
        <v>1001</v>
      </c>
      <c r="B2" s="1" t="s">
        <v>5</v>
      </c>
      <c r="C2" s="6" t="s">
        <v>80</v>
      </c>
      <c r="D2" s="3">
        <v>2022</v>
      </c>
      <c r="E2" s="3" t="s">
        <v>58</v>
      </c>
      <c r="F2" s="3" t="s">
        <v>71</v>
      </c>
      <c r="G2" s="8">
        <v>49.99</v>
      </c>
      <c r="H2" s="3">
        <v>10</v>
      </c>
      <c r="I2" s="8">
        <f>G2*H2</f>
        <v>499.90000000000003</v>
      </c>
    </row>
    <row r="3" spans="1:9" x14ac:dyDescent="0.3">
      <c r="A3" s="3">
        <v>1002</v>
      </c>
      <c r="B3" s="1" t="s">
        <v>6</v>
      </c>
      <c r="C3" s="6" t="s">
        <v>81</v>
      </c>
      <c r="D3" s="3">
        <v>2023</v>
      </c>
      <c r="E3" s="3" t="s">
        <v>59</v>
      </c>
      <c r="F3" s="3" t="s">
        <v>72</v>
      </c>
      <c r="G3" s="8">
        <v>29.99</v>
      </c>
      <c r="H3" s="3">
        <v>15</v>
      </c>
      <c r="I3" s="8">
        <f t="shared" ref="I3:I49" si="0">G3*H3</f>
        <v>449.84999999999997</v>
      </c>
    </row>
    <row r="4" spans="1:9" x14ac:dyDescent="0.3">
      <c r="A4" s="3">
        <v>1003</v>
      </c>
      <c r="B4" s="1" t="s">
        <v>7</v>
      </c>
      <c r="C4" s="6" t="s">
        <v>82</v>
      </c>
      <c r="D4" s="3">
        <v>2024</v>
      </c>
      <c r="E4" s="3" t="s">
        <v>60</v>
      </c>
      <c r="F4" s="3" t="s">
        <v>73</v>
      </c>
      <c r="G4" s="8">
        <v>99.99</v>
      </c>
      <c r="H4" s="3">
        <v>15</v>
      </c>
      <c r="I4" s="8">
        <f t="shared" si="0"/>
        <v>1499.85</v>
      </c>
    </row>
    <row r="5" spans="1:9" x14ac:dyDescent="0.3">
      <c r="A5" s="3">
        <v>1004</v>
      </c>
      <c r="B5" s="1" t="s">
        <v>8</v>
      </c>
      <c r="C5" s="6" t="s">
        <v>83</v>
      </c>
      <c r="D5" s="3">
        <v>2025</v>
      </c>
      <c r="E5" s="3" t="s">
        <v>61</v>
      </c>
      <c r="F5" s="3" t="s">
        <v>74</v>
      </c>
      <c r="G5" s="8">
        <v>19.989999999999998</v>
      </c>
      <c r="H5" s="3">
        <v>10</v>
      </c>
      <c r="I5" s="8">
        <f t="shared" si="0"/>
        <v>199.89999999999998</v>
      </c>
    </row>
    <row r="6" spans="1:9" x14ac:dyDescent="0.3">
      <c r="A6" s="3">
        <v>1005</v>
      </c>
      <c r="B6" s="1" t="s">
        <v>9</v>
      </c>
      <c r="C6" s="6" t="s">
        <v>84</v>
      </c>
      <c r="D6" s="3">
        <v>2022</v>
      </c>
      <c r="E6" s="3" t="s">
        <v>62</v>
      </c>
      <c r="F6" s="3" t="s">
        <v>75</v>
      </c>
      <c r="G6" s="8">
        <v>149.99</v>
      </c>
      <c r="H6" s="3">
        <v>9</v>
      </c>
      <c r="I6" s="8">
        <f t="shared" si="0"/>
        <v>1349.91</v>
      </c>
    </row>
    <row r="7" spans="1:9" x14ac:dyDescent="0.3">
      <c r="A7" s="3">
        <v>1006</v>
      </c>
      <c r="B7" s="1" t="s">
        <v>10</v>
      </c>
      <c r="C7" s="6" t="s">
        <v>85</v>
      </c>
      <c r="D7" s="3">
        <v>2023</v>
      </c>
      <c r="E7" s="3" t="s">
        <v>63</v>
      </c>
      <c r="F7" s="3" t="s">
        <v>76</v>
      </c>
      <c r="G7" s="8">
        <v>79.989999999999995</v>
      </c>
      <c r="H7" s="3">
        <v>10</v>
      </c>
      <c r="I7" s="8">
        <f t="shared" si="0"/>
        <v>799.9</v>
      </c>
    </row>
    <row r="8" spans="1:9" x14ac:dyDescent="0.3">
      <c r="A8" s="3">
        <v>1007</v>
      </c>
      <c r="B8" s="1" t="s">
        <v>11</v>
      </c>
      <c r="C8" s="6" t="s">
        <v>86</v>
      </c>
      <c r="D8" s="3">
        <v>2024</v>
      </c>
      <c r="E8" s="3" t="s">
        <v>64</v>
      </c>
      <c r="F8" s="3" t="s">
        <v>77</v>
      </c>
      <c r="G8" s="8">
        <v>39.99</v>
      </c>
      <c r="H8" s="3">
        <v>4</v>
      </c>
      <c r="I8" s="8">
        <f t="shared" si="0"/>
        <v>159.96</v>
      </c>
    </row>
    <row r="9" spans="1:9" x14ac:dyDescent="0.3">
      <c r="A9" s="3">
        <v>1008</v>
      </c>
      <c r="B9" s="1" t="s">
        <v>12</v>
      </c>
      <c r="C9" s="6" t="s">
        <v>87</v>
      </c>
      <c r="D9" s="3">
        <v>2025</v>
      </c>
      <c r="E9" s="3" t="s">
        <v>65</v>
      </c>
      <c r="F9" s="3" t="s">
        <v>78</v>
      </c>
      <c r="G9" s="8">
        <v>69.989999999999995</v>
      </c>
      <c r="H9" s="3">
        <v>5</v>
      </c>
      <c r="I9" s="8">
        <f t="shared" si="0"/>
        <v>349.95</v>
      </c>
    </row>
    <row r="10" spans="1:9" x14ac:dyDescent="0.3">
      <c r="A10" s="3">
        <v>1009</v>
      </c>
      <c r="B10" s="1" t="s">
        <v>13</v>
      </c>
      <c r="C10" s="6" t="s">
        <v>88</v>
      </c>
      <c r="D10" s="3">
        <v>2022</v>
      </c>
      <c r="E10" s="3" t="s">
        <v>66</v>
      </c>
      <c r="F10" s="3" t="s">
        <v>71</v>
      </c>
      <c r="G10" s="8">
        <v>89.99</v>
      </c>
      <c r="H10" s="3">
        <v>6</v>
      </c>
      <c r="I10" s="8">
        <f t="shared" si="0"/>
        <v>539.93999999999994</v>
      </c>
    </row>
    <row r="11" spans="1:9" x14ac:dyDescent="0.3">
      <c r="A11" s="3">
        <v>1010</v>
      </c>
      <c r="B11" s="1" t="s">
        <v>14</v>
      </c>
      <c r="C11" s="6" t="s">
        <v>89</v>
      </c>
      <c r="D11" s="3">
        <v>2023</v>
      </c>
      <c r="E11" s="3" t="s">
        <v>67</v>
      </c>
      <c r="F11" s="3" t="s">
        <v>72</v>
      </c>
      <c r="G11" s="8">
        <v>199.99</v>
      </c>
      <c r="H11" s="3">
        <v>8</v>
      </c>
      <c r="I11" s="8">
        <f t="shared" si="0"/>
        <v>1599.92</v>
      </c>
    </row>
    <row r="12" spans="1:9" x14ac:dyDescent="0.3">
      <c r="A12" s="3">
        <v>1011</v>
      </c>
      <c r="B12" s="1" t="s">
        <v>15</v>
      </c>
      <c r="C12" s="6" t="s">
        <v>80</v>
      </c>
      <c r="D12" s="3">
        <v>2024</v>
      </c>
      <c r="E12" s="3" t="s">
        <v>68</v>
      </c>
      <c r="F12" s="3" t="s">
        <v>73</v>
      </c>
      <c r="G12" s="8">
        <v>29.99</v>
      </c>
      <c r="H12" s="11">
        <v>5.6</v>
      </c>
      <c r="I12" s="8">
        <f t="shared" si="0"/>
        <v>167.94399999999999</v>
      </c>
    </row>
    <row r="13" spans="1:9" x14ac:dyDescent="0.3">
      <c r="A13" s="3">
        <v>1012</v>
      </c>
      <c r="B13" s="1" t="s">
        <v>16</v>
      </c>
      <c r="C13" s="6" t="s">
        <v>81</v>
      </c>
      <c r="D13" s="3">
        <v>2025</v>
      </c>
      <c r="E13" s="3" t="s">
        <v>69</v>
      </c>
      <c r="F13" s="3" t="s">
        <v>74</v>
      </c>
      <c r="G13" s="8">
        <v>79.989999999999995</v>
      </c>
      <c r="H13" s="11">
        <v>4.7636363636363699</v>
      </c>
      <c r="I13" s="8">
        <f t="shared" si="0"/>
        <v>381.04327272727318</v>
      </c>
    </row>
    <row r="14" spans="1:9" x14ac:dyDescent="0.3">
      <c r="A14" s="3">
        <v>1013</v>
      </c>
      <c r="B14" s="1" t="s">
        <v>17</v>
      </c>
      <c r="C14" s="6" t="s">
        <v>82</v>
      </c>
      <c r="D14" s="3">
        <v>2022</v>
      </c>
      <c r="E14" s="3" t="s">
        <v>58</v>
      </c>
      <c r="F14" s="3" t="s">
        <v>75</v>
      </c>
      <c r="G14" s="8">
        <v>49.99</v>
      </c>
      <c r="H14" s="3">
        <v>10</v>
      </c>
      <c r="I14" s="8">
        <f t="shared" si="0"/>
        <v>499.90000000000003</v>
      </c>
    </row>
    <row r="15" spans="1:9" x14ac:dyDescent="0.3">
      <c r="A15" s="3">
        <v>1014</v>
      </c>
      <c r="B15" s="1" t="s">
        <v>18</v>
      </c>
      <c r="C15" s="6" t="s">
        <v>83</v>
      </c>
      <c r="D15" s="5">
        <v>2023</v>
      </c>
      <c r="E15" s="3" t="s">
        <v>59</v>
      </c>
      <c r="F15" s="3" t="s">
        <v>76</v>
      </c>
      <c r="G15" s="8">
        <v>129.99</v>
      </c>
      <c r="H15" s="3">
        <v>15</v>
      </c>
      <c r="I15" s="8">
        <f t="shared" si="0"/>
        <v>1949.8500000000001</v>
      </c>
    </row>
    <row r="16" spans="1:9" x14ac:dyDescent="0.3">
      <c r="A16" s="3">
        <v>1015</v>
      </c>
      <c r="B16" s="1" t="s">
        <v>19</v>
      </c>
      <c r="C16" s="6" t="s">
        <v>85</v>
      </c>
      <c r="D16" s="5">
        <v>2024</v>
      </c>
      <c r="E16" s="3" t="s">
        <v>60</v>
      </c>
      <c r="F16" s="3" t="s">
        <v>77</v>
      </c>
      <c r="G16" s="8">
        <v>19.989999999999998</v>
      </c>
      <c r="H16" s="3">
        <v>15</v>
      </c>
      <c r="I16" s="8">
        <f t="shared" si="0"/>
        <v>299.84999999999997</v>
      </c>
    </row>
    <row r="17" spans="1:9" x14ac:dyDescent="0.3">
      <c r="A17" s="3">
        <v>1016</v>
      </c>
      <c r="B17" s="1" t="s">
        <v>20</v>
      </c>
      <c r="C17" s="6" t="s">
        <v>85</v>
      </c>
      <c r="D17" s="5">
        <v>2025</v>
      </c>
      <c r="E17" s="3" t="s">
        <v>61</v>
      </c>
      <c r="F17" s="3" t="s">
        <v>78</v>
      </c>
      <c r="G17" s="8">
        <v>149.99</v>
      </c>
      <c r="H17" s="3">
        <v>10</v>
      </c>
      <c r="I17" s="8">
        <f t="shared" si="0"/>
        <v>1499.9</v>
      </c>
    </row>
    <row r="18" spans="1:9" x14ac:dyDescent="0.3">
      <c r="A18" s="3">
        <v>1017</v>
      </c>
      <c r="B18" s="1" t="s">
        <v>21</v>
      </c>
      <c r="C18" s="6" t="s">
        <v>86</v>
      </c>
      <c r="D18" s="3">
        <v>2022</v>
      </c>
      <c r="E18" s="3" t="s">
        <v>62</v>
      </c>
      <c r="F18" s="3" t="s">
        <v>71</v>
      </c>
      <c r="G18" s="8">
        <v>69.989999999999995</v>
      </c>
      <c r="H18" s="3">
        <v>9</v>
      </c>
      <c r="I18" s="8">
        <f t="shared" si="0"/>
        <v>629.91</v>
      </c>
    </row>
    <row r="19" spans="1:9" x14ac:dyDescent="0.3">
      <c r="A19" s="3">
        <v>1018</v>
      </c>
      <c r="B19" s="1" t="s">
        <v>22</v>
      </c>
      <c r="C19" s="6" t="s">
        <v>87</v>
      </c>
      <c r="D19" s="5">
        <v>2023</v>
      </c>
      <c r="E19" s="3" t="s">
        <v>63</v>
      </c>
      <c r="F19" s="3" t="s">
        <v>72</v>
      </c>
      <c r="G19" s="8">
        <v>39.99</v>
      </c>
      <c r="H19" s="3">
        <v>20</v>
      </c>
      <c r="I19" s="8">
        <f t="shared" si="0"/>
        <v>799.80000000000007</v>
      </c>
    </row>
    <row r="20" spans="1:9" x14ac:dyDescent="0.3">
      <c r="A20" s="3">
        <v>1019</v>
      </c>
      <c r="B20" s="1" t="s">
        <v>23</v>
      </c>
      <c r="C20" s="6" t="s">
        <v>88</v>
      </c>
      <c r="D20" s="5">
        <v>2024</v>
      </c>
      <c r="E20" s="3" t="s">
        <v>64</v>
      </c>
      <c r="F20" s="3" t="s">
        <v>73</v>
      </c>
      <c r="G20" s="8">
        <v>199.99</v>
      </c>
      <c r="H20" s="3">
        <v>4</v>
      </c>
      <c r="I20" s="8">
        <f t="shared" si="0"/>
        <v>799.96</v>
      </c>
    </row>
    <row r="21" spans="1:9" x14ac:dyDescent="0.3">
      <c r="A21" s="3">
        <v>1020</v>
      </c>
      <c r="B21" s="1" t="s">
        <v>24</v>
      </c>
      <c r="C21" s="6" t="s">
        <v>89</v>
      </c>
      <c r="D21" s="5">
        <v>2025</v>
      </c>
      <c r="E21" s="3" t="s">
        <v>65</v>
      </c>
      <c r="F21" s="3" t="s">
        <v>74</v>
      </c>
      <c r="G21" s="8">
        <v>29.99</v>
      </c>
      <c r="H21" s="3">
        <v>5</v>
      </c>
      <c r="I21" s="8">
        <f t="shared" si="0"/>
        <v>149.94999999999999</v>
      </c>
    </row>
    <row r="22" spans="1:9" x14ac:dyDescent="0.3">
      <c r="A22" s="3">
        <v>1021</v>
      </c>
      <c r="B22" s="1" t="s">
        <v>25</v>
      </c>
      <c r="C22" s="6" t="s">
        <v>80</v>
      </c>
      <c r="D22" s="3">
        <v>2022</v>
      </c>
      <c r="E22" s="3" t="s">
        <v>66</v>
      </c>
      <c r="F22" s="3" t="s">
        <v>75</v>
      </c>
      <c r="G22" s="8">
        <v>79.989999999999995</v>
      </c>
      <c r="H22" s="3">
        <v>6</v>
      </c>
      <c r="I22" s="8">
        <f t="shared" si="0"/>
        <v>479.93999999999994</v>
      </c>
    </row>
    <row r="23" spans="1:9" x14ac:dyDescent="0.3">
      <c r="A23" s="3">
        <v>1022</v>
      </c>
      <c r="B23" s="1" t="s">
        <v>26</v>
      </c>
      <c r="C23" s="6" t="s">
        <v>81</v>
      </c>
      <c r="D23" s="5">
        <v>2023</v>
      </c>
      <c r="E23" s="3" t="s">
        <v>67</v>
      </c>
      <c r="F23" s="3" t="s">
        <v>76</v>
      </c>
      <c r="G23" s="8">
        <v>49.99</v>
      </c>
      <c r="H23" s="3">
        <v>8</v>
      </c>
      <c r="I23" s="8">
        <f t="shared" si="0"/>
        <v>399.92</v>
      </c>
    </row>
    <row r="24" spans="1:9" x14ac:dyDescent="0.3">
      <c r="A24" s="3">
        <v>1023</v>
      </c>
      <c r="B24" s="1" t="s">
        <v>27</v>
      </c>
      <c r="C24" s="6" t="s">
        <v>82</v>
      </c>
      <c r="D24" s="5">
        <v>2024</v>
      </c>
      <c r="E24" s="3" t="s">
        <v>68</v>
      </c>
      <c r="F24" s="3" t="s">
        <v>77</v>
      </c>
      <c r="G24" s="8">
        <v>129.99</v>
      </c>
      <c r="H24" s="11">
        <v>5.6</v>
      </c>
      <c r="I24" s="8">
        <f t="shared" si="0"/>
        <v>727.94399999999996</v>
      </c>
    </row>
    <row r="25" spans="1:9" x14ac:dyDescent="0.3">
      <c r="A25" s="3">
        <v>1024</v>
      </c>
      <c r="B25" s="1" t="s">
        <v>28</v>
      </c>
      <c r="C25" s="6" t="s">
        <v>83</v>
      </c>
      <c r="D25" s="5">
        <v>2025</v>
      </c>
      <c r="E25" s="3" t="s">
        <v>69</v>
      </c>
      <c r="F25" s="3" t="s">
        <v>78</v>
      </c>
      <c r="G25" s="8">
        <v>19.989999999999998</v>
      </c>
      <c r="H25" s="11">
        <v>4.7636363636363699</v>
      </c>
      <c r="I25" s="8">
        <f t="shared" si="0"/>
        <v>95.225090909091023</v>
      </c>
    </row>
    <row r="26" spans="1:9" x14ac:dyDescent="0.3">
      <c r="A26" s="3">
        <v>1025</v>
      </c>
      <c r="B26" s="1" t="s">
        <v>29</v>
      </c>
      <c r="C26" s="6" t="s">
        <v>84</v>
      </c>
      <c r="D26" s="3">
        <v>2022</v>
      </c>
      <c r="E26" s="3" t="s">
        <v>58</v>
      </c>
      <c r="F26" s="3" t="s">
        <v>71</v>
      </c>
      <c r="G26" s="8">
        <v>149.99</v>
      </c>
      <c r="H26" s="3">
        <v>10</v>
      </c>
      <c r="I26" s="8">
        <f t="shared" si="0"/>
        <v>1499.9</v>
      </c>
    </row>
    <row r="27" spans="1:9" x14ac:dyDescent="0.3">
      <c r="A27" s="3">
        <v>1026</v>
      </c>
      <c r="B27" s="1" t="s">
        <v>30</v>
      </c>
      <c r="C27" s="6" t="s">
        <v>85</v>
      </c>
      <c r="D27" s="5">
        <v>2023</v>
      </c>
      <c r="E27" s="3" t="s">
        <v>59</v>
      </c>
      <c r="F27" s="3" t="s">
        <v>72</v>
      </c>
      <c r="G27" s="8">
        <v>69.989999999999995</v>
      </c>
      <c r="H27" s="3">
        <v>15</v>
      </c>
      <c r="I27" s="8">
        <f t="shared" si="0"/>
        <v>1049.8499999999999</v>
      </c>
    </row>
    <row r="28" spans="1:9" x14ac:dyDescent="0.3">
      <c r="A28" s="3">
        <v>1027</v>
      </c>
      <c r="B28" s="1" t="s">
        <v>31</v>
      </c>
      <c r="C28" s="6" t="s">
        <v>86</v>
      </c>
      <c r="D28" s="5">
        <v>2024</v>
      </c>
      <c r="E28" s="3" t="s">
        <v>60</v>
      </c>
      <c r="F28" s="3" t="s">
        <v>73</v>
      </c>
      <c r="G28" s="8">
        <v>39.99</v>
      </c>
      <c r="H28" s="3">
        <v>15</v>
      </c>
      <c r="I28" s="8">
        <f t="shared" si="0"/>
        <v>599.85</v>
      </c>
    </row>
    <row r="29" spans="1:9" x14ac:dyDescent="0.3">
      <c r="A29" s="3">
        <v>1028</v>
      </c>
      <c r="B29" s="1" t="s">
        <v>32</v>
      </c>
      <c r="C29" s="6" t="s">
        <v>87</v>
      </c>
      <c r="D29" s="5">
        <v>2025</v>
      </c>
      <c r="E29" s="3" t="s">
        <v>61</v>
      </c>
      <c r="F29" s="3" t="s">
        <v>74</v>
      </c>
      <c r="G29" s="8">
        <v>199.99</v>
      </c>
      <c r="H29" s="3">
        <v>10</v>
      </c>
      <c r="I29" s="8">
        <f t="shared" si="0"/>
        <v>1999.9</v>
      </c>
    </row>
    <row r="30" spans="1:9" x14ac:dyDescent="0.3">
      <c r="A30" s="3">
        <v>1029</v>
      </c>
      <c r="B30" s="1" t="s">
        <v>33</v>
      </c>
      <c r="C30" s="6" t="s">
        <v>85</v>
      </c>
      <c r="D30" s="3">
        <v>2022</v>
      </c>
      <c r="E30" s="3" t="s">
        <v>62</v>
      </c>
      <c r="F30" s="3" t="s">
        <v>75</v>
      </c>
      <c r="G30" s="8">
        <v>29.99</v>
      </c>
      <c r="H30" s="3">
        <v>9</v>
      </c>
      <c r="I30" s="8">
        <f t="shared" si="0"/>
        <v>269.90999999999997</v>
      </c>
    </row>
    <row r="31" spans="1:9" x14ac:dyDescent="0.3">
      <c r="A31" s="3">
        <v>1030</v>
      </c>
      <c r="B31" s="1" t="s">
        <v>34</v>
      </c>
      <c r="C31" s="6" t="s">
        <v>89</v>
      </c>
      <c r="D31" s="5">
        <v>2023</v>
      </c>
      <c r="E31" s="3" t="s">
        <v>63</v>
      </c>
      <c r="F31" s="3" t="s">
        <v>76</v>
      </c>
      <c r="G31" s="8">
        <v>79.989999999999995</v>
      </c>
      <c r="H31" s="3">
        <v>20</v>
      </c>
      <c r="I31" s="8">
        <f t="shared" si="0"/>
        <v>1599.8</v>
      </c>
    </row>
    <row r="32" spans="1:9" x14ac:dyDescent="0.3">
      <c r="A32" s="3">
        <v>1031</v>
      </c>
      <c r="B32" s="1" t="s">
        <v>35</v>
      </c>
      <c r="C32" s="6" t="s">
        <v>80</v>
      </c>
      <c r="D32" s="5">
        <v>2024</v>
      </c>
      <c r="E32" s="3" t="s">
        <v>64</v>
      </c>
      <c r="F32" s="3" t="s">
        <v>77</v>
      </c>
      <c r="G32" s="8">
        <v>49.99</v>
      </c>
      <c r="H32" s="3">
        <v>4</v>
      </c>
      <c r="I32" s="8">
        <f t="shared" si="0"/>
        <v>199.96</v>
      </c>
    </row>
    <row r="33" spans="1:9" x14ac:dyDescent="0.3">
      <c r="A33" s="3">
        <v>1032</v>
      </c>
      <c r="B33" s="1" t="s">
        <v>36</v>
      </c>
      <c r="C33" s="6" t="s">
        <v>81</v>
      </c>
      <c r="D33" s="5">
        <v>2025</v>
      </c>
      <c r="E33" s="3" t="s">
        <v>65</v>
      </c>
      <c r="F33" s="3" t="s">
        <v>78</v>
      </c>
      <c r="G33" s="8">
        <v>129.99</v>
      </c>
      <c r="H33" s="3">
        <v>5</v>
      </c>
      <c r="I33" s="8">
        <f t="shared" si="0"/>
        <v>649.95000000000005</v>
      </c>
    </row>
    <row r="34" spans="1:9" x14ac:dyDescent="0.3">
      <c r="A34" s="3">
        <v>1033</v>
      </c>
      <c r="B34" s="1" t="s">
        <v>37</v>
      </c>
      <c r="C34" s="6" t="s">
        <v>82</v>
      </c>
      <c r="D34" s="3">
        <v>2022</v>
      </c>
      <c r="E34" s="3" t="s">
        <v>66</v>
      </c>
      <c r="F34" s="3" t="s">
        <v>71</v>
      </c>
      <c r="G34" s="8">
        <v>19.989999999999998</v>
      </c>
      <c r="H34" s="3">
        <v>6</v>
      </c>
      <c r="I34" s="8">
        <f t="shared" si="0"/>
        <v>119.94</v>
      </c>
    </row>
    <row r="35" spans="1:9" x14ac:dyDescent="0.3">
      <c r="A35" s="3">
        <v>1034</v>
      </c>
      <c r="B35" s="1" t="s">
        <v>38</v>
      </c>
      <c r="C35" s="6" t="s">
        <v>83</v>
      </c>
      <c r="D35" s="5">
        <v>2023</v>
      </c>
      <c r="E35" s="3" t="s">
        <v>67</v>
      </c>
      <c r="F35" s="3" t="s">
        <v>72</v>
      </c>
      <c r="G35" s="8">
        <v>149.99</v>
      </c>
      <c r="H35" s="3">
        <v>8</v>
      </c>
      <c r="I35" s="8">
        <f t="shared" si="0"/>
        <v>1199.92</v>
      </c>
    </row>
    <row r="36" spans="1:9" x14ac:dyDescent="0.3">
      <c r="A36" s="3">
        <v>1035</v>
      </c>
      <c r="B36" s="1" t="s">
        <v>39</v>
      </c>
      <c r="C36" s="6" t="s">
        <v>84</v>
      </c>
      <c r="D36" s="5">
        <v>2024</v>
      </c>
      <c r="E36" s="3" t="s">
        <v>68</v>
      </c>
      <c r="F36" s="3" t="s">
        <v>73</v>
      </c>
      <c r="G36" s="8">
        <v>69.989999999999995</v>
      </c>
      <c r="H36" s="11">
        <v>5.6</v>
      </c>
      <c r="I36" s="8">
        <f t="shared" si="0"/>
        <v>391.94399999999996</v>
      </c>
    </row>
    <row r="37" spans="1:9" x14ac:dyDescent="0.3">
      <c r="A37" s="3">
        <v>1036</v>
      </c>
      <c r="B37" s="1" t="s">
        <v>40</v>
      </c>
      <c r="C37" s="6" t="s">
        <v>85</v>
      </c>
      <c r="D37" s="5">
        <v>2025</v>
      </c>
      <c r="E37" s="3" t="s">
        <v>69</v>
      </c>
      <c r="F37" s="3" t="s">
        <v>74</v>
      </c>
      <c r="G37" s="8">
        <v>39.99</v>
      </c>
      <c r="H37" s="11">
        <v>4.7636363636363699</v>
      </c>
      <c r="I37" s="8">
        <f t="shared" si="0"/>
        <v>190.49781818181845</v>
      </c>
    </row>
    <row r="38" spans="1:9" x14ac:dyDescent="0.3">
      <c r="A38" s="3">
        <v>1037</v>
      </c>
      <c r="B38" s="1" t="s">
        <v>41</v>
      </c>
      <c r="C38" s="6" t="s">
        <v>86</v>
      </c>
      <c r="D38" s="3">
        <v>2022</v>
      </c>
      <c r="E38" s="3" t="s">
        <v>58</v>
      </c>
      <c r="F38" s="3" t="s">
        <v>75</v>
      </c>
      <c r="G38" s="8">
        <v>199.99</v>
      </c>
      <c r="H38" s="3">
        <v>10</v>
      </c>
      <c r="I38" s="8">
        <f t="shared" si="0"/>
        <v>1999.9</v>
      </c>
    </row>
    <row r="39" spans="1:9" x14ac:dyDescent="0.3">
      <c r="A39" s="3">
        <v>1038</v>
      </c>
      <c r="B39" s="1" t="s">
        <v>42</v>
      </c>
      <c r="C39" s="6" t="s">
        <v>87</v>
      </c>
      <c r="D39" s="5">
        <v>2023</v>
      </c>
      <c r="E39" s="3" t="s">
        <v>59</v>
      </c>
      <c r="F39" s="3" t="s">
        <v>76</v>
      </c>
      <c r="G39" s="8">
        <v>29.99</v>
      </c>
      <c r="H39" s="3">
        <v>15</v>
      </c>
      <c r="I39" s="8">
        <f t="shared" si="0"/>
        <v>449.84999999999997</v>
      </c>
    </row>
    <row r="40" spans="1:9" x14ac:dyDescent="0.3">
      <c r="A40" s="3">
        <v>1039</v>
      </c>
      <c r="B40" s="1" t="s">
        <v>43</v>
      </c>
      <c r="C40" s="6" t="s">
        <v>88</v>
      </c>
      <c r="D40" s="5">
        <v>2024</v>
      </c>
      <c r="E40" s="3" t="s">
        <v>60</v>
      </c>
      <c r="F40" s="3" t="s">
        <v>77</v>
      </c>
      <c r="G40" s="8">
        <v>79.989999999999995</v>
      </c>
      <c r="H40" s="3">
        <v>15</v>
      </c>
      <c r="I40" s="8">
        <f t="shared" si="0"/>
        <v>1199.8499999999999</v>
      </c>
    </row>
    <row r="41" spans="1:9" x14ac:dyDescent="0.3">
      <c r="A41" s="3">
        <v>1040</v>
      </c>
      <c r="B41" s="1" t="s">
        <v>44</v>
      </c>
      <c r="C41" s="6" t="s">
        <v>89</v>
      </c>
      <c r="D41" s="5">
        <v>2025</v>
      </c>
      <c r="E41" s="3" t="s">
        <v>61</v>
      </c>
      <c r="F41" s="3" t="s">
        <v>78</v>
      </c>
      <c r="G41" s="8">
        <v>49.99</v>
      </c>
      <c r="H41" s="3">
        <v>10</v>
      </c>
      <c r="I41" s="8">
        <f t="shared" si="0"/>
        <v>499.90000000000003</v>
      </c>
    </row>
    <row r="42" spans="1:9" x14ac:dyDescent="0.3">
      <c r="A42" s="3">
        <v>1041</v>
      </c>
      <c r="B42" s="1" t="s">
        <v>45</v>
      </c>
      <c r="C42" s="6" t="s">
        <v>85</v>
      </c>
      <c r="D42" s="3">
        <v>2022</v>
      </c>
      <c r="E42" s="3" t="s">
        <v>62</v>
      </c>
      <c r="F42" s="3" t="s">
        <v>71</v>
      </c>
      <c r="G42" s="8">
        <v>129.99</v>
      </c>
      <c r="H42" s="3">
        <v>9</v>
      </c>
      <c r="I42" s="8">
        <f t="shared" si="0"/>
        <v>1169.9100000000001</v>
      </c>
    </row>
    <row r="43" spans="1:9" x14ac:dyDescent="0.3">
      <c r="A43" s="3">
        <v>1042</v>
      </c>
      <c r="B43" s="1" t="s">
        <v>46</v>
      </c>
      <c r="C43" s="6" t="s">
        <v>81</v>
      </c>
      <c r="D43" s="5">
        <v>2023</v>
      </c>
      <c r="E43" s="3" t="s">
        <v>63</v>
      </c>
      <c r="F43" s="3" t="s">
        <v>72</v>
      </c>
      <c r="G43" s="8">
        <v>19.989999999999998</v>
      </c>
      <c r="H43" s="3">
        <v>20</v>
      </c>
      <c r="I43" s="8">
        <f t="shared" si="0"/>
        <v>399.79999999999995</v>
      </c>
    </row>
    <row r="44" spans="1:9" x14ac:dyDescent="0.3">
      <c r="A44" s="3">
        <v>1043</v>
      </c>
      <c r="B44" s="1" t="s">
        <v>47</v>
      </c>
      <c r="C44" s="6" t="s">
        <v>82</v>
      </c>
      <c r="D44" s="5">
        <v>2024</v>
      </c>
      <c r="E44" s="3" t="s">
        <v>64</v>
      </c>
      <c r="F44" s="3" t="s">
        <v>73</v>
      </c>
      <c r="G44" s="8">
        <v>149.99</v>
      </c>
      <c r="H44" s="3">
        <v>4</v>
      </c>
      <c r="I44" s="8">
        <f t="shared" si="0"/>
        <v>599.96</v>
      </c>
    </row>
    <row r="45" spans="1:9" x14ac:dyDescent="0.3">
      <c r="A45" s="3">
        <v>1044</v>
      </c>
      <c r="B45" s="1" t="s">
        <v>48</v>
      </c>
      <c r="C45" s="6" t="s">
        <v>83</v>
      </c>
      <c r="D45" s="5">
        <v>2025</v>
      </c>
      <c r="E45" s="3" t="s">
        <v>65</v>
      </c>
      <c r="F45" s="3" t="s">
        <v>74</v>
      </c>
      <c r="G45" s="8">
        <v>69.989999999999995</v>
      </c>
      <c r="H45" s="3">
        <v>5</v>
      </c>
      <c r="I45" s="8">
        <f t="shared" si="0"/>
        <v>349.95</v>
      </c>
    </row>
    <row r="46" spans="1:9" x14ac:dyDescent="0.3">
      <c r="A46" s="3">
        <v>1045</v>
      </c>
      <c r="B46" s="1" t="s">
        <v>49</v>
      </c>
      <c r="C46" s="6" t="s">
        <v>84</v>
      </c>
      <c r="D46" s="3">
        <v>2022</v>
      </c>
      <c r="E46" s="3" t="s">
        <v>66</v>
      </c>
      <c r="F46" s="3" t="s">
        <v>75</v>
      </c>
      <c r="G46" s="8">
        <v>39.99</v>
      </c>
      <c r="H46" s="3">
        <v>6</v>
      </c>
      <c r="I46" s="8">
        <f t="shared" si="0"/>
        <v>239.94</v>
      </c>
    </row>
    <row r="47" spans="1:9" x14ac:dyDescent="0.3">
      <c r="A47" s="3">
        <v>1046</v>
      </c>
      <c r="B47" s="1" t="s">
        <v>50</v>
      </c>
      <c r="C47" s="6" t="s">
        <v>85</v>
      </c>
      <c r="D47" s="5">
        <v>2023</v>
      </c>
      <c r="E47" s="3" t="s">
        <v>67</v>
      </c>
      <c r="F47" s="3" t="s">
        <v>76</v>
      </c>
      <c r="G47" s="8">
        <v>199.99</v>
      </c>
      <c r="H47" s="3">
        <v>8</v>
      </c>
      <c r="I47" s="8">
        <f t="shared" si="0"/>
        <v>1599.92</v>
      </c>
    </row>
    <row r="48" spans="1:9" x14ac:dyDescent="0.3">
      <c r="A48" s="3">
        <v>1047</v>
      </c>
      <c r="B48" s="1" t="s">
        <v>51</v>
      </c>
      <c r="C48" s="6" t="s">
        <v>86</v>
      </c>
      <c r="D48" s="5">
        <v>2024</v>
      </c>
      <c r="E48" s="3" t="s">
        <v>68</v>
      </c>
      <c r="F48" s="3" t="s">
        <v>77</v>
      </c>
      <c r="G48" s="8">
        <v>29.99</v>
      </c>
      <c r="H48" s="11">
        <v>5.6</v>
      </c>
      <c r="I48" s="8">
        <f t="shared" si="0"/>
        <v>167.94399999999999</v>
      </c>
    </row>
    <row r="49" spans="1:9" x14ac:dyDescent="0.3">
      <c r="A49" s="3">
        <v>1048</v>
      </c>
      <c r="B49" s="1" t="s">
        <v>52</v>
      </c>
      <c r="C49" s="6" t="s">
        <v>87</v>
      </c>
      <c r="D49" s="5">
        <v>2025</v>
      </c>
      <c r="E49" s="3" t="s">
        <v>69</v>
      </c>
      <c r="F49" s="3" t="s">
        <v>78</v>
      </c>
      <c r="G49" s="8">
        <v>79.989999999999995</v>
      </c>
      <c r="H49" s="11">
        <v>4.7636363636363699</v>
      </c>
      <c r="I49" s="8">
        <f t="shared" si="0"/>
        <v>381.04327272727318</v>
      </c>
    </row>
    <row r="50" spans="1:9" x14ac:dyDescent="0.3">
      <c r="A50" s="3">
        <v>1049</v>
      </c>
      <c r="B50" s="1" t="s">
        <v>53</v>
      </c>
      <c r="C50" s="6" t="s">
        <v>85</v>
      </c>
      <c r="D50" s="3">
        <v>2022</v>
      </c>
      <c r="E50" s="3" t="s">
        <v>58</v>
      </c>
      <c r="F50" s="3" t="s">
        <v>71</v>
      </c>
      <c r="G50" s="8">
        <v>49.99</v>
      </c>
      <c r="H50" s="1">
        <v>10</v>
      </c>
      <c r="I50" s="8">
        <f t="shared" ref="I50:I61" si="1">G50*H51</f>
        <v>499.90000000000003</v>
      </c>
    </row>
    <row r="51" spans="1:9" x14ac:dyDescent="0.3">
      <c r="A51" s="3">
        <v>1050</v>
      </c>
      <c r="B51" s="1" t="s">
        <v>54</v>
      </c>
      <c r="C51" s="6" t="s">
        <v>85</v>
      </c>
      <c r="D51" s="5">
        <v>2023</v>
      </c>
      <c r="E51" s="3" t="s">
        <v>59</v>
      </c>
      <c r="F51" s="3" t="s">
        <v>72</v>
      </c>
      <c r="G51" s="8">
        <v>129.99</v>
      </c>
      <c r="H51" s="3">
        <v>10</v>
      </c>
      <c r="I51" s="8">
        <f t="shared" si="1"/>
        <v>1949.8500000000001</v>
      </c>
    </row>
    <row r="52" spans="1:9" x14ac:dyDescent="0.3">
      <c r="A52" s="3">
        <v>1051</v>
      </c>
      <c r="B52" s="1" t="s">
        <v>55</v>
      </c>
      <c r="C52" s="6" t="s">
        <v>80</v>
      </c>
      <c r="D52" s="5">
        <v>2024</v>
      </c>
      <c r="E52" s="3" t="s">
        <v>60</v>
      </c>
      <c r="F52" s="3" t="s">
        <v>73</v>
      </c>
      <c r="G52" s="8">
        <v>19.989999999999998</v>
      </c>
      <c r="H52" s="3">
        <v>15</v>
      </c>
      <c r="I52" s="8">
        <f t="shared" si="1"/>
        <v>299.84999999999997</v>
      </c>
    </row>
    <row r="53" spans="1:9" x14ac:dyDescent="0.3">
      <c r="A53" s="3">
        <v>1052</v>
      </c>
      <c r="B53" s="1" t="s">
        <v>5</v>
      </c>
      <c r="C53" s="6" t="s">
        <v>81</v>
      </c>
      <c r="D53" s="5">
        <v>2025</v>
      </c>
      <c r="E53" s="3" t="s">
        <v>61</v>
      </c>
      <c r="F53" s="3" t="s">
        <v>74</v>
      </c>
      <c r="G53" s="8">
        <v>149.99</v>
      </c>
      <c r="H53" s="3">
        <v>15</v>
      </c>
      <c r="I53" s="8">
        <f t="shared" si="1"/>
        <v>1499.9</v>
      </c>
    </row>
    <row r="54" spans="1:9" x14ac:dyDescent="0.3">
      <c r="A54" s="3">
        <v>1053</v>
      </c>
      <c r="B54" s="1" t="s">
        <v>6</v>
      </c>
      <c r="C54" s="6" t="s">
        <v>82</v>
      </c>
      <c r="D54" s="3">
        <v>2022</v>
      </c>
      <c r="E54" s="3" t="s">
        <v>62</v>
      </c>
      <c r="F54" s="3" t="s">
        <v>75</v>
      </c>
      <c r="G54" s="8">
        <v>69.989999999999995</v>
      </c>
      <c r="H54" s="3">
        <v>10</v>
      </c>
      <c r="I54" s="8">
        <f t="shared" si="1"/>
        <v>629.91</v>
      </c>
    </row>
    <row r="55" spans="1:9" x14ac:dyDescent="0.3">
      <c r="A55" s="3">
        <v>1054</v>
      </c>
      <c r="B55" s="1" t="s">
        <v>7</v>
      </c>
      <c r="C55" s="6" t="s">
        <v>83</v>
      </c>
      <c r="D55" s="5">
        <v>2023</v>
      </c>
      <c r="E55" s="3" t="s">
        <v>63</v>
      </c>
      <c r="F55" s="3" t="s">
        <v>76</v>
      </c>
      <c r="G55" s="8">
        <v>39.99</v>
      </c>
      <c r="H55" s="3">
        <v>9</v>
      </c>
      <c r="I55" s="8">
        <f t="shared" si="1"/>
        <v>799.80000000000007</v>
      </c>
    </row>
    <row r="56" spans="1:9" x14ac:dyDescent="0.3">
      <c r="A56" s="3">
        <v>1055</v>
      </c>
      <c r="B56" s="1" t="s">
        <v>8</v>
      </c>
      <c r="C56" s="6" t="s">
        <v>84</v>
      </c>
      <c r="D56" s="5">
        <v>2024</v>
      </c>
      <c r="E56" s="3" t="s">
        <v>64</v>
      </c>
      <c r="F56" s="3" t="s">
        <v>77</v>
      </c>
      <c r="G56" s="8">
        <v>199.99</v>
      </c>
      <c r="H56" s="3">
        <v>20</v>
      </c>
      <c r="I56" s="8">
        <f t="shared" si="1"/>
        <v>799.96</v>
      </c>
    </row>
    <row r="57" spans="1:9" x14ac:dyDescent="0.3">
      <c r="A57" s="3">
        <v>1056</v>
      </c>
      <c r="B57" s="1" t="s">
        <v>9</v>
      </c>
      <c r="C57" s="6" t="s">
        <v>85</v>
      </c>
      <c r="D57" s="5">
        <v>2025</v>
      </c>
      <c r="E57" s="3" t="s">
        <v>65</v>
      </c>
      <c r="F57" s="3" t="s">
        <v>78</v>
      </c>
      <c r="G57" s="8">
        <v>29.99</v>
      </c>
      <c r="H57" s="3">
        <v>4</v>
      </c>
      <c r="I57" s="8">
        <f t="shared" si="1"/>
        <v>149.94999999999999</v>
      </c>
    </row>
    <row r="58" spans="1:9" x14ac:dyDescent="0.3">
      <c r="A58" s="3">
        <v>1057</v>
      </c>
      <c r="B58" s="1" t="s">
        <v>10</v>
      </c>
      <c r="C58" s="6" t="s">
        <v>86</v>
      </c>
      <c r="D58" s="3">
        <v>2022</v>
      </c>
      <c r="E58" s="3" t="s">
        <v>66</v>
      </c>
      <c r="F58" s="3" t="s">
        <v>71</v>
      </c>
      <c r="G58" s="8">
        <v>79.989999999999995</v>
      </c>
      <c r="H58" s="3">
        <v>5</v>
      </c>
      <c r="I58" s="8">
        <f t="shared" si="1"/>
        <v>479.93999999999994</v>
      </c>
    </row>
    <row r="59" spans="1:9" x14ac:dyDescent="0.3">
      <c r="A59" s="3">
        <v>1058</v>
      </c>
      <c r="B59" s="1" t="s">
        <v>11</v>
      </c>
      <c r="C59" s="6" t="s">
        <v>87</v>
      </c>
      <c r="D59" s="5">
        <v>2023</v>
      </c>
      <c r="E59" s="3" t="s">
        <v>67</v>
      </c>
      <c r="F59" s="3" t="s">
        <v>72</v>
      </c>
      <c r="G59" s="8">
        <v>49.99</v>
      </c>
      <c r="H59" s="3">
        <v>6</v>
      </c>
      <c r="I59" s="8">
        <f t="shared" si="1"/>
        <v>399.92</v>
      </c>
    </row>
    <row r="60" spans="1:9" x14ac:dyDescent="0.3">
      <c r="A60" s="3">
        <v>1059</v>
      </c>
      <c r="B60" s="1" t="s">
        <v>12</v>
      </c>
      <c r="C60" s="6" t="s">
        <v>88</v>
      </c>
      <c r="D60" s="5">
        <v>2024</v>
      </c>
      <c r="E60" s="3" t="s">
        <v>68</v>
      </c>
      <c r="F60" s="3" t="s">
        <v>73</v>
      </c>
      <c r="G60" s="8">
        <v>129.99</v>
      </c>
      <c r="H60" s="3">
        <v>8</v>
      </c>
      <c r="I60" s="8">
        <f t="shared" si="1"/>
        <v>727.94399999999996</v>
      </c>
    </row>
    <row r="61" spans="1:9" x14ac:dyDescent="0.3">
      <c r="A61" s="3">
        <v>1060</v>
      </c>
      <c r="B61" s="1" t="s">
        <v>13</v>
      </c>
      <c r="C61" s="6" t="s">
        <v>89</v>
      </c>
      <c r="D61" s="5">
        <v>2025</v>
      </c>
      <c r="E61" s="3" t="s">
        <v>69</v>
      </c>
      <c r="F61" s="3" t="s">
        <v>74</v>
      </c>
      <c r="G61" s="8">
        <v>19.989999999999998</v>
      </c>
      <c r="H61" s="11">
        <v>5.6</v>
      </c>
      <c r="I61" s="8">
        <f t="shared" si="1"/>
        <v>199.89999999999998</v>
      </c>
    </row>
    <row r="62" spans="1:9" x14ac:dyDescent="0.3">
      <c r="A62" s="3">
        <v>1061</v>
      </c>
      <c r="B62" s="1" t="s">
        <v>14</v>
      </c>
      <c r="C62" s="6" t="s">
        <v>80</v>
      </c>
      <c r="D62" s="3">
        <v>2022</v>
      </c>
      <c r="E62" s="3" t="s">
        <v>58</v>
      </c>
      <c r="F62" s="3" t="s">
        <v>75</v>
      </c>
      <c r="G62" s="8">
        <v>149.99</v>
      </c>
      <c r="H62" s="3">
        <v>10</v>
      </c>
      <c r="I62" s="8">
        <f>G63*H63</f>
        <v>1049.8499999999999</v>
      </c>
    </row>
    <row r="63" spans="1:9" x14ac:dyDescent="0.3">
      <c r="A63" s="3">
        <v>1062</v>
      </c>
      <c r="B63" s="1" t="s">
        <v>15</v>
      </c>
      <c r="C63" s="6" t="s">
        <v>81</v>
      </c>
      <c r="D63" s="5">
        <v>2023</v>
      </c>
      <c r="E63" s="3" t="s">
        <v>59</v>
      </c>
      <c r="F63" s="3" t="s">
        <v>76</v>
      </c>
      <c r="G63" s="8">
        <v>69.989999999999995</v>
      </c>
      <c r="H63" s="3">
        <v>15</v>
      </c>
      <c r="I63" s="8">
        <f t="shared" ref="I63:I70" si="2">G64*H64</f>
        <v>599.85</v>
      </c>
    </row>
    <row r="64" spans="1:9" x14ac:dyDescent="0.3">
      <c r="A64" s="3">
        <v>1063</v>
      </c>
      <c r="B64" s="1" t="s">
        <v>16</v>
      </c>
      <c r="C64" s="6" t="s">
        <v>82</v>
      </c>
      <c r="D64" s="5">
        <v>2024</v>
      </c>
      <c r="E64" s="3" t="s">
        <v>60</v>
      </c>
      <c r="F64" s="3" t="s">
        <v>77</v>
      </c>
      <c r="G64" s="8">
        <v>39.99</v>
      </c>
      <c r="H64" s="3">
        <v>15</v>
      </c>
      <c r="I64" s="8">
        <f t="shared" si="2"/>
        <v>1999.9</v>
      </c>
    </row>
    <row r="65" spans="1:9" x14ac:dyDescent="0.3">
      <c r="A65" s="3">
        <v>1064</v>
      </c>
      <c r="B65" s="1" t="s">
        <v>17</v>
      </c>
      <c r="C65" s="6" t="s">
        <v>85</v>
      </c>
      <c r="D65" s="5">
        <v>2025</v>
      </c>
      <c r="E65" s="3" t="s">
        <v>61</v>
      </c>
      <c r="F65" s="3" t="s">
        <v>78</v>
      </c>
      <c r="G65" s="8">
        <v>199.99</v>
      </c>
      <c r="H65" s="3">
        <v>10</v>
      </c>
      <c r="I65" s="8">
        <f t="shared" si="2"/>
        <v>269.90999999999997</v>
      </c>
    </row>
    <row r="66" spans="1:9" x14ac:dyDescent="0.3">
      <c r="A66" s="3">
        <v>1065</v>
      </c>
      <c r="B66" s="1" t="s">
        <v>5</v>
      </c>
      <c r="C66" s="6" t="s">
        <v>84</v>
      </c>
      <c r="D66" s="3">
        <v>2022</v>
      </c>
      <c r="E66" s="3" t="s">
        <v>62</v>
      </c>
      <c r="F66" s="3" t="s">
        <v>71</v>
      </c>
      <c r="G66" s="8">
        <v>29.99</v>
      </c>
      <c r="H66" s="3">
        <v>9</v>
      </c>
      <c r="I66" s="8">
        <f t="shared" si="2"/>
        <v>1599.8</v>
      </c>
    </row>
    <row r="67" spans="1:9" x14ac:dyDescent="0.3">
      <c r="A67" s="3">
        <v>1066</v>
      </c>
      <c r="B67" s="1" t="s">
        <v>6</v>
      </c>
      <c r="C67" s="6" t="s">
        <v>85</v>
      </c>
      <c r="D67" s="5">
        <v>2023</v>
      </c>
      <c r="E67" s="3" t="s">
        <v>63</v>
      </c>
      <c r="F67" s="3" t="s">
        <v>72</v>
      </c>
      <c r="G67" s="8">
        <v>79.989999999999995</v>
      </c>
      <c r="H67" s="3">
        <v>20</v>
      </c>
      <c r="I67" s="8">
        <f t="shared" si="2"/>
        <v>499.90000000000003</v>
      </c>
    </row>
    <row r="68" spans="1:9" x14ac:dyDescent="0.3">
      <c r="A68" s="3">
        <v>1067</v>
      </c>
      <c r="B68" s="1" t="s">
        <v>7</v>
      </c>
      <c r="C68" s="6" t="s">
        <v>86</v>
      </c>
      <c r="D68" s="5">
        <v>2024</v>
      </c>
      <c r="E68" s="3" t="s">
        <v>64</v>
      </c>
      <c r="F68" s="3" t="s">
        <v>73</v>
      </c>
      <c r="G68" s="8">
        <v>49.99</v>
      </c>
      <c r="H68" s="3">
        <v>10</v>
      </c>
      <c r="I68" s="8">
        <f t="shared" si="2"/>
        <v>1949.8500000000001</v>
      </c>
    </row>
    <row r="69" spans="1:9" x14ac:dyDescent="0.3">
      <c r="A69" s="3">
        <v>1068</v>
      </c>
      <c r="B69" s="1" t="s">
        <v>8</v>
      </c>
      <c r="C69" s="6" t="s">
        <v>87</v>
      </c>
      <c r="D69" s="5">
        <v>2025</v>
      </c>
      <c r="E69" s="3" t="s">
        <v>65</v>
      </c>
      <c r="F69" s="3" t="s">
        <v>74</v>
      </c>
      <c r="G69" s="8">
        <v>129.99</v>
      </c>
      <c r="H69" s="3">
        <v>15</v>
      </c>
      <c r="I69" s="8">
        <f t="shared" si="2"/>
        <v>299.84999999999997</v>
      </c>
    </row>
    <row r="70" spans="1:9" x14ac:dyDescent="0.3">
      <c r="A70" s="3">
        <v>1069</v>
      </c>
      <c r="B70" s="1" t="s">
        <v>9</v>
      </c>
      <c r="C70" s="6" t="s">
        <v>88</v>
      </c>
      <c r="D70" s="3">
        <v>2022</v>
      </c>
      <c r="E70" s="3" t="s">
        <v>66</v>
      </c>
      <c r="F70" s="3" t="s">
        <v>75</v>
      </c>
      <c r="G70" s="8">
        <v>19.989999999999998</v>
      </c>
      <c r="H70" s="3">
        <v>15</v>
      </c>
      <c r="I70" s="8">
        <f t="shared" si="2"/>
        <v>1499.9</v>
      </c>
    </row>
    <row r="71" spans="1:9" x14ac:dyDescent="0.3">
      <c r="A71" s="3">
        <v>1070</v>
      </c>
      <c r="B71" s="1" t="s">
        <v>10</v>
      </c>
      <c r="C71" s="6" t="s">
        <v>89</v>
      </c>
      <c r="D71" s="5">
        <v>2023</v>
      </c>
      <c r="E71" s="3" t="s">
        <v>67</v>
      </c>
      <c r="F71" s="3" t="s">
        <v>76</v>
      </c>
      <c r="G71" s="8">
        <v>149.99</v>
      </c>
      <c r="H71" s="3">
        <v>10</v>
      </c>
      <c r="I71" s="8">
        <f>G71*H71</f>
        <v>1499.9</v>
      </c>
    </row>
    <row r="72" spans="1:9" x14ac:dyDescent="0.3">
      <c r="D72" s="5"/>
      <c r="H72" s="3"/>
    </row>
    <row r="73" spans="1:9" x14ac:dyDescent="0.3">
      <c r="C73" s="4"/>
      <c r="D73" s="5"/>
      <c r="E73" s="4"/>
      <c r="F73" s="4"/>
      <c r="H73" s="3"/>
    </row>
    <row r="74" spans="1:9" x14ac:dyDescent="0.3">
      <c r="C74" s="4"/>
      <c r="D74" s="4"/>
      <c r="E74" s="4"/>
      <c r="F74" s="4"/>
    </row>
  </sheetData>
  <autoFilter ref="A1:I71" xr:uid="{1604B641-85A2-41D5-8251-12E6997024AE}"/>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A9A7-6679-4F2C-8807-1F7E5F1AABA4}">
  <sheetPr codeName="Sheet2"/>
  <dimension ref="A1:AJ74"/>
  <sheetViews>
    <sheetView topLeftCell="I1" workbookViewId="0">
      <selection activeCell="N4" sqref="N4:O15"/>
    </sheetView>
  </sheetViews>
  <sheetFormatPr defaultRowHeight="14.4" x14ac:dyDescent="0.3"/>
  <cols>
    <col min="1" max="1" width="19.44140625" bestFit="1" customWidth="1"/>
    <col min="3" max="3" width="16.44140625" bestFit="1" customWidth="1"/>
    <col min="4" max="4" width="15.5546875" bestFit="1" customWidth="1"/>
    <col min="5" max="11" width="10.109375" bestFit="1" customWidth="1"/>
    <col min="12" max="12" width="11.109375" bestFit="1" customWidth="1"/>
    <col min="14" max="14" width="12.6640625" bestFit="1" customWidth="1"/>
    <col min="15" max="15" width="16.44140625" bestFit="1" customWidth="1"/>
    <col min="16" max="16" width="5.88671875" customWidth="1"/>
    <col min="17" max="17" width="16.44140625" customWidth="1"/>
    <col min="18" max="18" width="12.77734375" customWidth="1"/>
    <col min="20" max="20" width="12.44140625" bestFit="1" customWidth="1"/>
    <col min="21" max="21" width="16.44140625" bestFit="1" customWidth="1"/>
    <col min="26" max="26" width="19.109375" style="1" bestFit="1" customWidth="1"/>
    <col min="27" max="27" width="19.109375" style="1" customWidth="1"/>
    <col min="29" max="29" width="12.44140625" bestFit="1" customWidth="1"/>
    <col min="30" max="30" width="21.88671875" bestFit="1" customWidth="1"/>
    <col min="32" max="32" width="14.33203125" bestFit="1" customWidth="1"/>
    <col min="33" max="33" width="16.44140625" bestFit="1" customWidth="1"/>
    <col min="35" max="35" width="12.44140625" bestFit="1" customWidth="1"/>
    <col min="36" max="36" width="16.44140625" bestFit="1" customWidth="1"/>
  </cols>
  <sheetData>
    <row r="1" spans="1:36" ht="15.6" x14ac:dyDescent="0.3">
      <c r="Z1" s="2" t="s">
        <v>1</v>
      </c>
      <c r="AA1" s="2" t="s">
        <v>56</v>
      </c>
    </row>
    <row r="2" spans="1:36" x14ac:dyDescent="0.3">
      <c r="Z2" s="1" t="s">
        <v>5</v>
      </c>
      <c r="AA2" s="3">
        <v>2022</v>
      </c>
    </row>
    <row r="3" spans="1:36" x14ac:dyDescent="0.3">
      <c r="A3" s="14" t="s">
        <v>91</v>
      </c>
      <c r="C3" s="14" t="s">
        <v>94</v>
      </c>
      <c r="N3" s="14" t="s">
        <v>97</v>
      </c>
      <c r="T3" s="14" t="s">
        <v>98</v>
      </c>
      <c r="Z3" s="1" t="s">
        <v>6</v>
      </c>
      <c r="AA3" s="3">
        <v>2023</v>
      </c>
      <c r="AC3" s="14" t="s">
        <v>100</v>
      </c>
      <c r="AF3" s="14" t="s">
        <v>102</v>
      </c>
      <c r="AI3" s="14" t="s">
        <v>103</v>
      </c>
    </row>
    <row r="4" spans="1:36" x14ac:dyDescent="0.3">
      <c r="A4" t="s">
        <v>90</v>
      </c>
      <c r="C4" s="13" t="s">
        <v>90</v>
      </c>
      <c r="D4" s="13" t="s">
        <v>104</v>
      </c>
      <c r="N4" s="13" t="s">
        <v>95</v>
      </c>
      <c r="O4" t="s">
        <v>90</v>
      </c>
      <c r="Q4" s="14" t="s">
        <v>79</v>
      </c>
      <c r="R4" s="14" t="s">
        <v>99</v>
      </c>
      <c r="T4" s="13" t="s">
        <v>95</v>
      </c>
      <c r="U4" t="s">
        <v>90</v>
      </c>
      <c r="W4" s="14" t="s">
        <v>70</v>
      </c>
      <c r="X4" s="14" t="s">
        <v>99</v>
      </c>
      <c r="Z4" s="1" t="s">
        <v>7</v>
      </c>
      <c r="AA4" s="3">
        <v>2024</v>
      </c>
      <c r="AC4" s="13" t="s">
        <v>95</v>
      </c>
      <c r="AD4" t="s">
        <v>101</v>
      </c>
      <c r="AF4" s="13" t="s">
        <v>95</v>
      </c>
      <c r="AG4" t="s">
        <v>90</v>
      </c>
      <c r="AI4" s="13" t="s">
        <v>95</v>
      </c>
      <c r="AJ4" t="s">
        <v>90</v>
      </c>
    </row>
    <row r="5" spans="1:36" x14ac:dyDescent="0.3">
      <c r="A5" s="12">
        <v>54865.13945454546</v>
      </c>
      <c r="C5" s="13" t="s">
        <v>95</v>
      </c>
      <c r="D5" t="s">
        <v>78</v>
      </c>
      <c r="E5" t="s">
        <v>71</v>
      </c>
      <c r="F5" t="s">
        <v>72</v>
      </c>
      <c r="G5" t="s">
        <v>77</v>
      </c>
      <c r="H5" t="s">
        <v>74</v>
      </c>
      <c r="I5" t="s">
        <v>76</v>
      </c>
      <c r="J5" t="s">
        <v>73</v>
      </c>
      <c r="K5" t="s">
        <v>75</v>
      </c>
      <c r="L5" t="s">
        <v>96</v>
      </c>
      <c r="N5" s="16" t="s">
        <v>85</v>
      </c>
      <c r="O5" s="12">
        <v>10249.247818181819</v>
      </c>
      <c r="P5" s="12"/>
      <c r="Q5" s="12" t="str">
        <f>N5</f>
        <v>Pennsylvania</v>
      </c>
      <c r="R5" s="12">
        <f>GETPIVOTDATA("Total (USD)",$N$4,"Location",N5)</f>
        <v>10249.247818181819</v>
      </c>
      <c r="T5" s="16" t="s">
        <v>76</v>
      </c>
      <c r="U5" s="12">
        <v>9698.7900000000009</v>
      </c>
      <c r="W5" t="str">
        <f>T5</f>
        <v>Iphone</v>
      </c>
      <c r="X5">
        <f>GETPIVOTDATA("Total (USD)",$T$4,"Category",T5)</f>
        <v>9698.7900000000009</v>
      </c>
      <c r="Z5" s="1" t="s">
        <v>8</v>
      </c>
      <c r="AA5" s="3">
        <v>2025</v>
      </c>
      <c r="AC5" s="16">
        <v>2022</v>
      </c>
      <c r="AD5">
        <v>16</v>
      </c>
      <c r="AF5" s="16" t="s">
        <v>7</v>
      </c>
      <c r="AG5" s="12">
        <v>4249.5</v>
      </c>
      <c r="AI5" s="16" t="s">
        <v>58</v>
      </c>
      <c r="AJ5" s="12">
        <v>6049.35</v>
      </c>
    </row>
    <row r="6" spans="1:36" x14ac:dyDescent="0.3">
      <c r="C6" s="16">
        <v>2022</v>
      </c>
      <c r="D6" s="12"/>
      <c r="E6" s="12">
        <v>7039.1399999999994</v>
      </c>
      <c r="F6" s="12"/>
      <c r="G6" s="12"/>
      <c r="H6" s="12"/>
      <c r="I6" s="12"/>
      <c r="J6" s="12"/>
      <c r="K6" s="12">
        <v>8019.159999999998</v>
      </c>
      <c r="L6" s="12">
        <v>15058.299999999997</v>
      </c>
      <c r="N6" s="16" t="s">
        <v>82</v>
      </c>
      <c r="O6" s="12">
        <v>6077.4040000000005</v>
      </c>
      <c r="P6" s="12"/>
      <c r="Q6" s="12" t="str">
        <f t="shared" ref="Q6:Q14" si="0">N6</f>
        <v>Florida</v>
      </c>
      <c r="R6" s="12">
        <f t="shared" ref="R6:R14" si="1">GETPIVOTDATA("Total (USD)",$N$4,"Location",N6)</f>
        <v>6077.4040000000005</v>
      </c>
      <c r="T6" s="16" t="s">
        <v>72</v>
      </c>
      <c r="U6" s="12">
        <v>8348.8100000000013</v>
      </c>
      <c r="W6" t="str">
        <f t="shared" ref="W6:W12" si="2">T6</f>
        <v>Desktop</v>
      </c>
      <c r="X6">
        <f t="shared" ref="X6:X12" si="3">GETPIVOTDATA("Total (USD)",$T$4,"Category",T6)</f>
        <v>8348.8100000000013</v>
      </c>
      <c r="Z6" s="1" t="s">
        <v>9</v>
      </c>
      <c r="AA6" s="3">
        <v>2022</v>
      </c>
      <c r="AC6" s="16">
        <v>2023</v>
      </c>
      <c r="AD6">
        <v>16</v>
      </c>
      <c r="AF6" s="16" t="s">
        <v>5</v>
      </c>
      <c r="AG6" s="12">
        <v>3599.6000000000004</v>
      </c>
      <c r="AI6" s="16" t="s">
        <v>59</v>
      </c>
      <c r="AJ6" s="12">
        <v>6449.1</v>
      </c>
    </row>
    <row r="7" spans="1:36" x14ac:dyDescent="0.3">
      <c r="C7" s="16">
        <v>2023</v>
      </c>
      <c r="D7" s="12"/>
      <c r="E7" s="12"/>
      <c r="F7" s="12">
        <v>8348.8100000000013</v>
      </c>
      <c r="G7" s="12"/>
      <c r="H7" s="12"/>
      <c r="I7" s="12">
        <v>9698.7900000000009</v>
      </c>
      <c r="J7" s="12"/>
      <c r="K7" s="12"/>
      <c r="L7" s="12">
        <v>18047.600000000002</v>
      </c>
      <c r="N7" s="16" t="s">
        <v>86</v>
      </c>
      <c r="O7" s="12">
        <v>5987.3540000000003</v>
      </c>
      <c r="P7" s="12"/>
      <c r="Q7" s="12" t="str">
        <f t="shared" si="0"/>
        <v>Ohio</v>
      </c>
      <c r="R7" s="12">
        <f t="shared" si="1"/>
        <v>5987.3540000000003</v>
      </c>
      <c r="T7" s="16" t="s">
        <v>75</v>
      </c>
      <c r="U7" s="12">
        <v>8019.159999999998</v>
      </c>
      <c r="W7" t="str">
        <f t="shared" si="2"/>
        <v>Macbook</v>
      </c>
      <c r="X7">
        <f t="shared" si="3"/>
        <v>8019.159999999998</v>
      </c>
      <c r="Z7" s="1" t="s">
        <v>10</v>
      </c>
      <c r="AA7" s="3">
        <v>2023</v>
      </c>
      <c r="AC7" s="16">
        <v>2024</v>
      </c>
      <c r="AD7">
        <v>16</v>
      </c>
      <c r="AF7" s="16" t="s">
        <v>9</v>
      </c>
      <c r="AG7" s="12">
        <v>2999.76</v>
      </c>
      <c r="AI7" s="16" t="s">
        <v>60</v>
      </c>
      <c r="AJ7" s="12">
        <v>5899.15</v>
      </c>
    </row>
    <row r="8" spans="1:36" x14ac:dyDescent="0.3">
      <c r="A8" s="14" t="s">
        <v>92</v>
      </c>
      <c r="C8" s="16">
        <v>2024</v>
      </c>
      <c r="D8" s="12"/>
      <c r="E8" s="12"/>
      <c r="F8" s="12"/>
      <c r="G8" s="12">
        <v>5555.3680000000004</v>
      </c>
      <c r="H8" s="12"/>
      <c r="I8" s="12"/>
      <c r="J8" s="12">
        <v>7037.152</v>
      </c>
      <c r="K8" s="12"/>
      <c r="L8" s="12">
        <v>12592.52</v>
      </c>
      <c r="N8" s="16" t="s">
        <v>84</v>
      </c>
      <c r="O8" s="12">
        <v>5881.4540000000006</v>
      </c>
      <c r="P8" s="12"/>
      <c r="Q8" s="12" t="str">
        <f t="shared" si="0"/>
        <v>Illinois</v>
      </c>
      <c r="R8" s="12">
        <f t="shared" si="1"/>
        <v>5881.4540000000006</v>
      </c>
      <c r="T8" s="16" t="s">
        <v>71</v>
      </c>
      <c r="U8" s="12">
        <v>7039.1399999999994</v>
      </c>
      <c r="W8" t="str">
        <f t="shared" si="2"/>
        <v>Computer</v>
      </c>
      <c r="X8">
        <f t="shared" si="3"/>
        <v>7039.1399999999994</v>
      </c>
      <c r="Z8" s="1" t="s">
        <v>11</v>
      </c>
      <c r="AA8" s="3">
        <v>2024</v>
      </c>
      <c r="AC8" s="16">
        <v>2025</v>
      </c>
      <c r="AD8">
        <v>16</v>
      </c>
      <c r="AF8" s="16" t="s">
        <v>10</v>
      </c>
      <c r="AG8" s="12">
        <v>2779.74</v>
      </c>
      <c r="AI8" s="16" t="s">
        <v>61</v>
      </c>
      <c r="AJ8" s="12">
        <v>5969.41</v>
      </c>
    </row>
    <row r="9" spans="1:36" x14ac:dyDescent="0.3">
      <c r="A9" t="s">
        <v>93</v>
      </c>
      <c r="C9" s="16">
        <v>2025</v>
      </c>
      <c r="D9" s="12">
        <v>3895.828363636364</v>
      </c>
      <c r="E9" s="12"/>
      <c r="F9" s="12"/>
      <c r="G9" s="12"/>
      <c r="H9" s="12">
        <v>5270.8910909090919</v>
      </c>
      <c r="I9" s="12"/>
      <c r="J9" s="12"/>
      <c r="K9" s="12"/>
      <c r="L9" s="12">
        <v>9166.7194545454549</v>
      </c>
      <c r="N9" s="16" t="s">
        <v>89</v>
      </c>
      <c r="O9" s="12">
        <v>5549.3700000000008</v>
      </c>
      <c r="P9" s="12"/>
      <c r="Q9" s="12" t="str">
        <f t="shared" si="0"/>
        <v>North Carolina</v>
      </c>
      <c r="R9" s="12">
        <f t="shared" si="1"/>
        <v>5549.3700000000008</v>
      </c>
      <c r="T9" s="16" t="s">
        <v>73</v>
      </c>
      <c r="U9" s="12">
        <v>7037.152</v>
      </c>
      <c r="W9" t="str">
        <f t="shared" si="2"/>
        <v>Laptop</v>
      </c>
      <c r="X9">
        <f t="shared" si="3"/>
        <v>7037.152</v>
      </c>
      <c r="Z9" s="1" t="s">
        <v>12</v>
      </c>
      <c r="AA9" s="3">
        <v>2025</v>
      </c>
      <c r="AC9" s="16" t="s">
        <v>96</v>
      </c>
      <c r="AD9">
        <v>64</v>
      </c>
      <c r="AF9" s="16" t="s">
        <v>14</v>
      </c>
      <c r="AG9" s="12">
        <v>2649.77</v>
      </c>
      <c r="AI9" s="16" t="s">
        <v>62</v>
      </c>
      <c r="AJ9" s="12">
        <v>5649.35</v>
      </c>
    </row>
    <row r="10" spans="1:36" x14ac:dyDescent="0.3">
      <c r="A10" s="15">
        <v>686.05454545454552</v>
      </c>
      <c r="C10" s="16" t="s">
        <v>96</v>
      </c>
      <c r="D10" s="12">
        <v>3895.828363636364</v>
      </c>
      <c r="E10" s="12">
        <v>7039.1399999999994</v>
      </c>
      <c r="F10" s="12">
        <v>8348.8100000000013</v>
      </c>
      <c r="G10" s="12">
        <v>5555.3680000000004</v>
      </c>
      <c r="H10" s="12">
        <v>5270.8910909090919</v>
      </c>
      <c r="I10" s="12">
        <v>9698.7900000000009</v>
      </c>
      <c r="J10" s="12">
        <v>7037.152</v>
      </c>
      <c r="K10" s="12">
        <v>8019.159999999998</v>
      </c>
      <c r="L10" s="12">
        <v>54865.139454545453</v>
      </c>
      <c r="N10" s="16" t="s">
        <v>88</v>
      </c>
      <c r="O10" s="12">
        <v>4767.5940000000001</v>
      </c>
      <c r="P10" s="12"/>
      <c r="Q10" s="12" t="str">
        <f t="shared" si="0"/>
        <v>Michigan</v>
      </c>
      <c r="R10" s="12">
        <f t="shared" si="1"/>
        <v>4767.5940000000001</v>
      </c>
      <c r="T10" s="16" t="s">
        <v>77</v>
      </c>
      <c r="U10" s="12">
        <v>5555.3680000000004</v>
      </c>
      <c r="W10" t="str">
        <f t="shared" si="2"/>
        <v>Harddisk</v>
      </c>
      <c r="X10">
        <f t="shared" si="3"/>
        <v>5555.3680000000004</v>
      </c>
      <c r="Z10" s="1" t="s">
        <v>13</v>
      </c>
      <c r="AA10" s="3">
        <v>2022</v>
      </c>
      <c r="AF10" s="16" t="s">
        <v>96</v>
      </c>
      <c r="AG10" s="12">
        <v>16278.37</v>
      </c>
      <c r="AI10" s="16" t="s">
        <v>63</v>
      </c>
      <c r="AJ10" s="12">
        <v>4899</v>
      </c>
    </row>
    <row r="11" spans="1:36" x14ac:dyDescent="0.3">
      <c r="N11" s="16" t="s">
        <v>87</v>
      </c>
      <c r="O11" s="12">
        <v>4680.3132727272732</v>
      </c>
      <c r="P11" s="12"/>
      <c r="Q11" s="12" t="str">
        <f t="shared" si="0"/>
        <v>Georgia</v>
      </c>
      <c r="R11" s="12">
        <f t="shared" si="1"/>
        <v>4680.3132727272732</v>
      </c>
      <c r="T11" s="16" t="s">
        <v>74</v>
      </c>
      <c r="U11" s="12">
        <v>5270.8910909090919</v>
      </c>
      <c r="W11" t="str">
        <f t="shared" si="2"/>
        <v>I-Pad</v>
      </c>
      <c r="X11">
        <f t="shared" si="3"/>
        <v>5270.8910909090919</v>
      </c>
      <c r="Z11" s="1" t="s">
        <v>14</v>
      </c>
      <c r="AA11" s="3">
        <v>2023</v>
      </c>
      <c r="AI11" s="16" t="s">
        <v>64</v>
      </c>
      <c r="AJ11" s="12">
        <v>4509.6500000000005</v>
      </c>
    </row>
    <row r="12" spans="1:36" x14ac:dyDescent="0.3">
      <c r="N12" s="16" t="s">
        <v>83</v>
      </c>
      <c r="O12" s="12">
        <v>4594.6450909090909</v>
      </c>
      <c r="P12" s="12"/>
      <c r="Q12" s="12" t="str">
        <f t="shared" si="0"/>
        <v>New York</v>
      </c>
      <c r="R12" s="12">
        <f t="shared" si="1"/>
        <v>4594.6450909090909</v>
      </c>
      <c r="T12" s="16" t="s">
        <v>78</v>
      </c>
      <c r="U12" s="12">
        <v>3895.828363636364</v>
      </c>
      <c r="W12" t="str">
        <f t="shared" si="2"/>
        <v>Andriod</v>
      </c>
      <c r="X12">
        <f t="shared" si="3"/>
        <v>3895.828363636364</v>
      </c>
      <c r="Z12" s="1" t="s">
        <v>15</v>
      </c>
      <c r="AA12" s="3">
        <v>2024</v>
      </c>
      <c r="AI12" s="16" t="s">
        <v>65</v>
      </c>
      <c r="AJ12" s="12">
        <v>1949.6</v>
      </c>
    </row>
    <row r="13" spans="1:36" x14ac:dyDescent="0.3">
      <c r="N13" s="16" t="s">
        <v>81</v>
      </c>
      <c r="O13" s="12">
        <v>4380.3132727272732</v>
      </c>
      <c r="P13" s="12"/>
      <c r="Q13" s="12" t="str">
        <f t="shared" si="0"/>
        <v>Texas</v>
      </c>
      <c r="R13" s="12">
        <f t="shared" si="1"/>
        <v>4380.3132727272732</v>
      </c>
      <c r="T13" s="16" t="s">
        <v>96</v>
      </c>
      <c r="U13" s="12">
        <v>54865.139454545453</v>
      </c>
      <c r="Z13" s="1" t="s">
        <v>16</v>
      </c>
      <c r="AA13" s="3">
        <v>2025</v>
      </c>
      <c r="AI13" s="16" t="s">
        <v>66</v>
      </c>
      <c r="AJ13" s="12">
        <v>3359.6</v>
      </c>
    </row>
    <row r="14" spans="1:36" x14ac:dyDescent="0.3">
      <c r="A14" s="12">
        <f>GETPIVOTDATA("Total (USD)",$A$4)</f>
        <v>54865.13945454546</v>
      </c>
      <c r="N14" s="16" t="s">
        <v>80</v>
      </c>
      <c r="O14" s="12">
        <v>2697.444</v>
      </c>
      <c r="P14" s="12"/>
      <c r="Q14" s="12" t="str">
        <f t="shared" si="0"/>
        <v>California</v>
      </c>
      <c r="R14" s="12">
        <f t="shared" si="1"/>
        <v>2697.444</v>
      </c>
      <c r="Z14" s="1" t="s">
        <v>17</v>
      </c>
      <c r="AA14" s="3">
        <v>2022</v>
      </c>
      <c r="AI14" s="16" t="s">
        <v>67</v>
      </c>
      <c r="AJ14" s="12">
        <v>6699.5</v>
      </c>
    </row>
    <row r="15" spans="1:36" x14ac:dyDescent="0.3">
      <c r="A15" s="17">
        <f>GETPIVOTDATA("Order Quantity",$A$9)</f>
        <v>686.05454545454552</v>
      </c>
      <c r="N15" s="16" t="s">
        <v>96</v>
      </c>
      <c r="O15" s="12">
        <v>54865.139454545468</v>
      </c>
      <c r="P15" s="12"/>
      <c r="Q15" s="12"/>
      <c r="R15" s="12"/>
      <c r="Z15" s="1" t="s">
        <v>18</v>
      </c>
      <c r="AA15" s="5">
        <v>2023</v>
      </c>
      <c r="AI15" s="16" t="s">
        <v>68</v>
      </c>
      <c r="AJ15" s="12">
        <v>2183.7199999999998</v>
      </c>
    </row>
    <row r="16" spans="1:36" x14ac:dyDescent="0.3">
      <c r="Z16" s="1" t="s">
        <v>19</v>
      </c>
      <c r="AA16" s="5">
        <v>2024</v>
      </c>
      <c r="AI16" s="16" t="s">
        <v>69</v>
      </c>
      <c r="AJ16" s="12">
        <v>1247.7094545454556</v>
      </c>
    </row>
    <row r="17" spans="26:36" x14ac:dyDescent="0.3">
      <c r="Z17" s="1" t="s">
        <v>20</v>
      </c>
      <c r="AA17" s="5">
        <v>2025</v>
      </c>
      <c r="AI17" s="16" t="s">
        <v>96</v>
      </c>
      <c r="AJ17" s="12">
        <v>54865.139454545453</v>
      </c>
    </row>
    <row r="18" spans="26:36" x14ac:dyDescent="0.3">
      <c r="Z18" s="1" t="s">
        <v>21</v>
      </c>
      <c r="AA18" s="3">
        <v>2022</v>
      </c>
    </row>
    <row r="19" spans="26:36" x14ac:dyDescent="0.3">
      <c r="Z19" s="1" t="s">
        <v>22</v>
      </c>
      <c r="AA19" s="5">
        <v>2023</v>
      </c>
    </row>
    <row r="20" spans="26:36" x14ac:dyDescent="0.3">
      <c r="Z20" s="1" t="s">
        <v>23</v>
      </c>
      <c r="AA20" s="5">
        <v>2024</v>
      </c>
    </row>
    <row r="21" spans="26:36" x14ac:dyDescent="0.3">
      <c r="Z21" s="1" t="s">
        <v>24</v>
      </c>
      <c r="AA21" s="5">
        <v>2025</v>
      </c>
    </row>
    <row r="22" spans="26:36" x14ac:dyDescent="0.3">
      <c r="Z22" s="1" t="s">
        <v>25</v>
      </c>
      <c r="AA22" s="3">
        <v>2022</v>
      </c>
    </row>
    <row r="23" spans="26:36" x14ac:dyDescent="0.3">
      <c r="Z23" s="1" t="s">
        <v>26</v>
      </c>
      <c r="AA23" s="5">
        <v>2023</v>
      </c>
    </row>
    <row r="24" spans="26:36" x14ac:dyDescent="0.3">
      <c r="Z24" s="1" t="s">
        <v>27</v>
      </c>
      <c r="AA24" s="5">
        <v>2024</v>
      </c>
    </row>
    <row r="25" spans="26:36" x14ac:dyDescent="0.3">
      <c r="Z25" s="1" t="s">
        <v>28</v>
      </c>
      <c r="AA25" s="5">
        <v>2025</v>
      </c>
    </row>
    <row r="26" spans="26:36" x14ac:dyDescent="0.3">
      <c r="Z26" s="1" t="s">
        <v>29</v>
      </c>
      <c r="AA26" s="3">
        <v>2022</v>
      </c>
    </row>
    <row r="27" spans="26:36" x14ac:dyDescent="0.3">
      <c r="Z27" s="1" t="s">
        <v>30</v>
      </c>
      <c r="AA27" s="5">
        <v>2023</v>
      </c>
    </row>
    <row r="28" spans="26:36" x14ac:dyDescent="0.3">
      <c r="Z28" s="1" t="s">
        <v>31</v>
      </c>
      <c r="AA28" s="5">
        <v>2024</v>
      </c>
    </row>
    <row r="29" spans="26:36" x14ac:dyDescent="0.3">
      <c r="Z29" s="1" t="s">
        <v>32</v>
      </c>
      <c r="AA29" s="5">
        <v>2025</v>
      </c>
    </row>
    <row r="30" spans="26:36" x14ac:dyDescent="0.3">
      <c r="Z30" s="1" t="s">
        <v>33</v>
      </c>
      <c r="AA30" s="3">
        <v>2022</v>
      </c>
    </row>
    <row r="31" spans="26:36" x14ac:dyDescent="0.3">
      <c r="Z31" s="1" t="s">
        <v>34</v>
      </c>
      <c r="AA31" s="5">
        <v>2023</v>
      </c>
    </row>
    <row r="32" spans="26:36" x14ac:dyDescent="0.3">
      <c r="Z32" s="1" t="s">
        <v>35</v>
      </c>
      <c r="AA32" s="5">
        <v>2024</v>
      </c>
    </row>
    <row r="33" spans="26:27" x14ac:dyDescent="0.3">
      <c r="Z33" s="1" t="s">
        <v>36</v>
      </c>
      <c r="AA33" s="5">
        <v>2025</v>
      </c>
    </row>
    <row r="34" spans="26:27" x14ac:dyDescent="0.3">
      <c r="Z34" s="1" t="s">
        <v>37</v>
      </c>
      <c r="AA34" s="3">
        <v>2022</v>
      </c>
    </row>
    <row r="35" spans="26:27" x14ac:dyDescent="0.3">
      <c r="Z35" s="1" t="s">
        <v>38</v>
      </c>
      <c r="AA35" s="5">
        <v>2023</v>
      </c>
    </row>
    <row r="36" spans="26:27" x14ac:dyDescent="0.3">
      <c r="Z36" s="1" t="s">
        <v>39</v>
      </c>
      <c r="AA36" s="5">
        <v>2024</v>
      </c>
    </row>
    <row r="37" spans="26:27" x14ac:dyDescent="0.3">
      <c r="Z37" s="1" t="s">
        <v>40</v>
      </c>
      <c r="AA37" s="5">
        <v>2025</v>
      </c>
    </row>
    <row r="38" spans="26:27" x14ac:dyDescent="0.3">
      <c r="Z38" s="1" t="s">
        <v>41</v>
      </c>
      <c r="AA38" s="3">
        <v>2022</v>
      </c>
    </row>
    <row r="39" spans="26:27" x14ac:dyDescent="0.3">
      <c r="Z39" s="1" t="s">
        <v>42</v>
      </c>
      <c r="AA39" s="5">
        <v>2023</v>
      </c>
    </row>
    <row r="40" spans="26:27" x14ac:dyDescent="0.3">
      <c r="Z40" s="1" t="s">
        <v>43</v>
      </c>
      <c r="AA40" s="5">
        <v>2024</v>
      </c>
    </row>
    <row r="41" spans="26:27" x14ac:dyDescent="0.3">
      <c r="Z41" s="1" t="s">
        <v>44</v>
      </c>
      <c r="AA41" s="5">
        <v>2025</v>
      </c>
    </row>
    <row r="42" spans="26:27" x14ac:dyDescent="0.3">
      <c r="Z42" s="1" t="s">
        <v>45</v>
      </c>
      <c r="AA42" s="3">
        <v>2022</v>
      </c>
    </row>
    <row r="43" spans="26:27" x14ac:dyDescent="0.3">
      <c r="Z43" s="1" t="s">
        <v>46</v>
      </c>
      <c r="AA43" s="5">
        <v>2023</v>
      </c>
    </row>
    <row r="44" spans="26:27" x14ac:dyDescent="0.3">
      <c r="Z44" s="1" t="s">
        <v>47</v>
      </c>
      <c r="AA44" s="5">
        <v>2024</v>
      </c>
    </row>
    <row r="45" spans="26:27" x14ac:dyDescent="0.3">
      <c r="Z45" s="1" t="s">
        <v>48</v>
      </c>
      <c r="AA45" s="5">
        <v>2025</v>
      </c>
    </row>
    <row r="46" spans="26:27" x14ac:dyDescent="0.3">
      <c r="Z46" s="1" t="s">
        <v>49</v>
      </c>
      <c r="AA46" s="3">
        <v>2022</v>
      </c>
    </row>
    <row r="47" spans="26:27" x14ac:dyDescent="0.3">
      <c r="Z47" s="1" t="s">
        <v>50</v>
      </c>
      <c r="AA47" s="5">
        <v>2023</v>
      </c>
    </row>
    <row r="48" spans="26:27" x14ac:dyDescent="0.3">
      <c r="Z48" s="1" t="s">
        <v>51</v>
      </c>
      <c r="AA48" s="5">
        <v>2024</v>
      </c>
    </row>
    <row r="49" spans="26:27" x14ac:dyDescent="0.3">
      <c r="Z49" s="1" t="s">
        <v>50</v>
      </c>
      <c r="AA49" s="5">
        <v>2025</v>
      </c>
    </row>
    <row r="50" spans="26:27" x14ac:dyDescent="0.3">
      <c r="Z50" s="1" t="s">
        <v>53</v>
      </c>
      <c r="AA50" s="3">
        <v>2022</v>
      </c>
    </row>
    <row r="51" spans="26:27" x14ac:dyDescent="0.3">
      <c r="Z51" s="1" t="s">
        <v>54</v>
      </c>
      <c r="AA51" s="5">
        <v>2023</v>
      </c>
    </row>
    <row r="52" spans="26:27" x14ac:dyDescent="0.3">
      <c r="Z52" s="1" t="s">
        <v>55</v>
      </c>
      <c r="AA52" s="5">
        <v>2024</v>
      </c>
    </row>
    <row r="53" spans="26:27" x14ac:dyDescent="0.3">
      <c r="Z53" s="1" t="s">
        <v>5</v>
      </c>
      <c r="AA53" s="5">
        <v>2025</v>
      </c>
    </row>
    <row r="54" spans="26:27" x14ac:dyDescent="0.3">
      <c r="Z54" s="1" t="s">
        <v>6</v>
      </c>
      <c r="AA54" s="3">
        <v>2022</v>
      </c>
    </row>
    <row r="55" spans="26:27" x14ac:dyDescent="0.3">
      <c r="Z55" s="1" t="s">
        <v>7</v>
      </c>
      <c r="AA55" s="5">
        <v>2023</v>
      </c>
    </row>
    <row r="56" spans="26:27" x14ac:dyDescent="0.3">
      <c r="Z56" s="1" t="s">
        <v>8</v>
      </c>
      <c r="AA56" s="5">
        <v>2024</v>
      </c>
    </row>
    <row r="57" spans="26:27" x14ac:dyDescent="0.3">
      <c r="Z57" s="1" t="s">
        <v>9</v>
      </c>
      <c r="AA57" s="5">
        <v>2025</v>
      </c>
    </row>
    <row r="58" spans="26:27" x14ac:dyDescent="0.3">
      <c r="Z58" s="1" t="s">
        <v>10</v>
      </c>
      <c r="AA58" s="3">
        <v>2022</v>
      </c>
    </row>
    <row r="59" spans="26:27" x14ac:dyDescent="0.3">
      <c r="Z59" s="1" t="s">
        <v>11</v>
      </c>
      <c r="AA59" s="5">
        <v>2023</v>
      </c>
    </row>
    <row r="60" spans="26:27" x14ac:dyDescent="0.3">
      <c r="Z60" s="1" t="s">
        <v>12</v>
      </c>
      <c r="AA60" s="5">
        <v>2024</v>
      </c>
    </row>
    <row r="61" spans="26:27" x14ac:dyDescent="0.3">
      <c r="Z61" s="1" t="s">
        <v>13</v>
      </c>
      <c r="AA61" s="5">
        <v>2025</v>
      </c>
    </row>
    <row r="62" spans="26:27" x14ac:dyDescent="0.3">
      <c r="Z62" s="1" t="s">
        <v>14</v>
      </c>
      <c r="AA62" s="3">
        <v>2022</v>
      </c>
    </row>
    <row r="63" spans="26:27" x14ac:dyDescent="0.3">
      <c r="Z63" s="1" t="s">
        <v>10</v>
      </c>
      <c r="AA63" s="5">
        <v>2023</v>
      </c>
    </row>
    <row r="64" spans="26:27" x14ac:dyDescent="0.3">
      <c r="Z64" s="1" t="s">
        <v>10</v>
      </c>
      <c r="AA64" s="5">
        <v>2024</v>
      </c>
    </row>
    <row r="65" spans="26:27" x14ac:dyDescent="0.3">
      <c r="Z65" s="1" t="s">
        <v>17</v>
      </c>
      <c r="AA65" s="5">
        <v>2025</v>
      </c>
    </row>
    <row r="66" spans="26:27" x14ac:dyDescent="0.3">
      <c r="Z66"/>
      <c r="AA66"/>
    </row>
    <row r="67" spans="26:27" x14ac:dyDescent="0.3">
      <c r="Z67"/>
      <c r="AA67"/>
    </row>
    <row r="68" spans="26:27" x14ac:dyDescent="0.3">
      <c r="Z68"/>
      <c r="AA68"/>
    </row>
    <row r="69" spans="26:27" x14ac:dyDescent="0.3">
      <c r="Z69"/>
      <c r="AA69"/>
    </row>
    <row r="70" spans="26:27" x14ac:dyDescent="0.3">
      <c r="Z70"/>
      <c r="AA70"/>
    </row>
    <row r="71" spans="26:27" x14ac:dyDescent="0.3">
      <c r="Z71"/>
      <c r="AA71"/>
    </row>
    <row r="72" spans="26:27" x14ac:dyDescent="0.3">
      <c r="AA72" s="5"/>
    </row>
    <row r="73" spans="26:27" x14ac:dyDescent="0.3">
      <c r="AA73" s="5"/>
    </row>
    <row r="74" spans="26:27" x14ac:dyDescent="0.3">
      <c r="AA7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D634B-2380-4816-BEA4-7682E75543B3}">
  <dimension ref="A1"/>
  <sheetViews>
    <sheetView showGridLines="0" tabSelected="1" topLeftCell="A5" workbookViewId="0">
      <selection activeCell="V18" sqref="V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 Sales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Nikhil Sharma</cp:lastModifiedBy>
  <dcterms:created xsi:type="dcterms:W3CDTF">2024-02-19T11:17:54Z</dcterms:created>
  <dcterms:modified xsi:type="dcterms:W3CDTF">2026-04-15T12:29:57Z</dcterms:modified>
</cp:coreProperties>
</file>